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ink/ink1.xml" ContentType="application/inkml+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defaultThemeVersion="166925"/>
  <mc:AlternateContent xmlns:mc="http://schemas.openxmlformats.org/markup-compatibility/2006">
    <mc:Choice Requires="x15">
      <x15ac:absPath xmlns:x15ac="http://schemas.microsoft.com/office/spreadsheetml/2010/11/ac" url="C:\Users\PC\Downloads\"/>
    </mc:Choice>
  </mc:AlternateContent>
  <xr:revisionPtr revIDLastSave="0" documentId="8_{DBD3740C-EE24-47FD-95A0-9AE2A7DFF17D}" xr6:coauthVersionLast="47" xr6:coauthVersionMax="47" xr10:uidLastSave="{00000000-0000-0000-0000-000000000000}"/>
  <bookViews>
    <workbookView xWindow="-108" yWindow="-108" windowWidth="23256" windowHeight="12720" xr2:uid="{E6FCA7DC-E88D-4985-B9B2-AB2F05152C47}"/>
  </bookViews>
  <sheets>
    <sheet name="Cellar" sheetId="1" r:id="rId1"/>
    <sheet name="Data"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P4" i="2" l="1"/>
  <c r="L24" i="1"/>
  <c r="N24" i="1"/>
  <c r="L11" i="1"/>
  <c r="N11" i="1"/>
  <c r="L25" i="1"/>
  <c r="N25" i="1"/>
  <c r="L45" i="1"/>
  <c r="N45" i="1"/>
  <c r="L55" i="1"/>
  <c r="N55" i="1"/>
  <c r="L66" i="1"/>
  <c r="N66" i="1"/>
  <c r="L67" i="1"/>
  <c r="N67" i="1"/>
  <c r="L7" i="1"/>
  <c r="N7" i="1"/>
  <c r="L10" i="1"/>
  <c r="N10" i="1"/>
  <c r="L15" i="1"/>
  <c r="N15" i="1"/>
  <c r="L57" i="1"/>
  <c r="N57" i="1"/>
  <c r="L70" i="1"/>
  <c r="N70" i="1"/>
  <c r="L76" i="1"/>
  <c r="N76" i="1"/>
  <c r="L79" i="1"/>
  <c r="N79" i="1"/>
  <c r="L81" i="1"/>
  <c r="N81" i="1"/>
  <c r="L20" i="1"/>
  <c r="N20" i="1"/>
  <c r="L82" i="1"/>
  <c r="N82" i="1"/>
  <c r="L23" i="1"/>
  <c r="N23" i="1"/>
  <c r="L28" i="1"/>
  <c r="N28" i="1"/>
  <c r="L38" i="1"/>
  <c r="N38" i="1"/>
  <c r="L39" i="1"/>
  <c r="N39" i="1"/>
  <c r="L40" i="1"/>
  <c r="N40" i="1"/>
  <c r="L41" i="1"/>
  <c r="N41" i="1"/>
  <c r="L42" i="1"/>
  <c r="N42" i="1"/>
  <c r="L46" i="1"/>
  <c r="N46" i="1"/>
  <c r="L56" i="1"/>
  <c r="N56" i="1"/>
  <c r="L80" i="1"/>
  <c r="N80" i="1"/>
  <c r="L78" i="1"/>
  <c r="N78" i="1"/>
  <c r="L13" i="1"/>
  <c r="N13" i="1"/>
  <c r="L14" i="1"/>
  <c r="N14" i="1"/>
  <c r="L16" i="1"/>
  <c r="N16" i="1"/>
  <c r="L17" i="1"/>
  <c r="N17" i="1"/>
  <c r="L18" i="1"/>
  <c r="N18" i="1"/>
  <c r="L27" i="1"/>
  <c r="N27" i="1"/>
  <c r="L29" i="1"/>
  <c r="N29" i="1"/>
  <c r="L30" i="1"/>
  <c r="N30" i="1"/>
  <c r="L50" i="1"/>
  <c r="N50" i="1"/>
  <c r="L53" i="1"/>
  <c r="N53" i="1"/>
  <c r="L51" i="1"/>
  <c r="N51" i="1"/>
  <c r="L54" i="1"/>
  <c r="N54" i="1"/>
  <c r="L64" i="1"/>
  <c r="N64" i="1"/>
  <c r="L86" i="1"/>
  <c r="N86" i="1"/>
  <c r="L5" i="1"/>
  <c r="N5" i="1"/>
  <c r="L8" i="1"/>
  <c r="N8" i="1"/>
  <c r="L9" i="1"/>
  <c r="N9" i="1"/>
  <c r="L19" i="1"/>
  <c r="N19" i="1"/>
  <c r="L26" i="1"/>
  <c r="N26" i="1"/>
  <c r="L31" i="1"/>
  <c r="N31" i="1"/>
  <c r="L37" i="1"/>
  <c r="N37" i="1"/>
  <c r="L58" i="1"/>
  <c r="N58" i="1"/>
  <c r="L59" i="1"/>
  <c r="N59" i="1"/>
  <c r="L71" i="1"/>
  <c r="N71" i="1"/>
  <c r="L83" i="1"/>
  <c r="N83" i="1"/>
  <c r="L89" i="1"/>
  <c r="N89" i="1"/>
  <c r="L65" i="1"/>
  <c r="N65" i="1"/>
  <c r="L68" i="1"/>
  <c r="N68" i="1"/>
  <c r="L6" i="1"/>
  <c r="N6" i="1"/>
  <c r="L12" i="1"/>
  <c r="N12" i="1"/>
  <c r="L21" i="1"/>
  <c r="N21" i="1"/>
  <c r="L22" i="1"/>
  <c r="N22" i="1"/>
  <c r="L33" i="1"/>
  <c r="N33" i="1"/>
  <c r="L32" i="1"/>
  <c r="N32" i="1"/>
  <c r="L34" i="1"/>
  <c r="N34" i="1"/>
  <c r="L43" i="1"/>
  <c r="N43" i="1"/>
  <c r="L44" i="1"/>
  <c r="N44" i="1"/>
  <c r="L48" i="1"/>
  <c r="N48" i="1"/>
  <c r="L49" i="1"/>
  <c r="N49" i="1"/>
  <c r="L52" i="1"/>
  <c r="N52" i="1"/>
  <c r="L60" i="1"/>
  <c r="N60" i="1"/>
  <c r="L62" i="1"/>
  <c r="N62" i="1"/>
  <c r="L63" i="1"/>
  <c r="N63" i="1"/>
  <c r="L61" i="1"/>
  <c r="N61" i="1"/>
  <c r="L69" i="1"/>
  <c r="N69" i="1"/>
  <c r="L72" i="1"/>
  <c r="N72" i="1"/>
  <c r="L74" i="1"/>
  <c r="N74" i="1"/>
  <c r="L75" i="1"/>
  <c r="N75" i="1"/>
  <c r="L77" i="1"/>
  <c r="N77" i="1"/>
  <c r="L84" i="1"/>
  <c r="N84" i="1"/>
  <c r="L85" i="1"/>
  <c r="N85" i="1"/>
  <c r="L87" i="1"/>
  <c r="N87" i="1"/>
  <c r="L88" i="1"/>
  <c r="N88" i="1"/>
  <c r="L35" i="1"/>
  <c r="N35" i="1"/>
  <c r="L36" i="1"/>
  <c r="N36" i="1"/>
  <c r="L47" i="1"/>
  <c r="N47" i="1"/>
  <c r="L73" i="1"/>
  <c r="N73" i="1"/>
  <c r="L90" i="1"/>
  <c r="N90" i="1"/>
  <c r="L91" i="1"/>
  <c r="N91" i="1"/>
  <c r="L92" i="1"/>
  <c r="N92" i="1"/>
  <c r="L93" i="1"/>
  <c r="N93" i="1"/>
  <c r="L94" i="1"/>
  <c r="N94" i="1"/>
  <c r="L95" i="1"/>
  <c r="N95" i="1"/>
  <c r="L96" i="1"/>
  <c r="N96" i="1"/>
  <c r="L97" i="1"/>
  <c r="N97" i="1"/>
  <c r="L98" i="1"/>
  <c r="N98" i="1"/>
  <c r="L99" i="1"/>
  <c r="N99" i="1"/>
  <c r="L100" i="1"/>
  <c r="N100" i="1"/>
  <c r="AB4" i="2"/>
  <c r="AA4" i="2"/>
  <c r="Z4" i="2"/>
  <c r="Y4" i="2"/>
  <c r="X4" i="2"/>
  <c r="W4" i="2"/>
  <c r="V4" i="2"/>
  <c r="U4" i="2"/>
  <c r="T4" i="2"/>
  <c r="S4" i="2"/>
  <c r="O4" i="2"/>
  <c r="N4" i="2"/>
  <c r="M4" i="2"/>
  <c r="L4" i="2"/>
  <c r="K4" i="2"/>
  <c r="E3" i="1"/>
  <c r="AM4" i="2"/>
  <c r="AG4" i="2"/>
  <c r="BA4" i="2"/>
  <c r="AZ4" i="2"/>
  <c r="AY4" i="2"/>
  <c r="AX4" i="2"/>
  <c r="AW4" i="2"/>
  <c r="AV4" i="2"/>
  <c r="AU4" i="2"/>
  <c r="AT4" i="2"/>
  <c r="AS4" i="2"/>
  <c r="AR4" i="2"/>
  <c r="AQ4" i="2"/>
  <c r="AO4" i="2"/>
  <c r="AN4" i="2"/>
  <c r="AL4" i="2"/>
  <c r="AK4" i="2"/>
  <c r="AJ4" i="2"/>
  <c r="AI4" i="2"/>
  <c r="AH4" i="2"/>
  <c r="AF4" i="2"/>
  <c r="AE4" i="2"/>
  <c r="AD4" i="2"/>
  <c r="AC4" i="2"/>
  <c r="R4" i="2"/>
  <c r="Q4" i="2"/>
  <c r="P4" i="2"/>
  <c r="L3" i="1" l="1"/>
  <c r="N3" i="1"/>
</calcChain>
</file>

<file path=xl/sharedStrings.xml><?xml version="1.0" encoding="utf-8"?>
<sst xmlns="http://schemas.openxmlformats.org/spreadsheetml/2006/main" count="608" uniqueCount="244">
  <si>
    <t>Maker</t>
  </si>
  <si>
    <t>Penfolds</t>
  </si>
  <si>
    <t>Lake's Folly</t>
  </si>
  <si>
    <t>Cullen's</t>
  </si>
  <si>
    <t>Vasse Felix</t>
  </si>
  <si>
    <t>Tyrrell's</t>
  </si>
  <si>
    <t>Grange</t>
  </si>
  <si>
    <t>Cabernets</t>
  </si>
  <si>
    <t>Shiraz</t>
  </si>
  <si>
    <t>Chardonnay</t>
  </si>
  <si>
    <t>Hill Block Chardonnay</t>
  </si>
  <si>
    <t>Diana Madeline</t>
  </si>
  <si>
    <t>Vanya</t>
  </si>
  <si>
    <t>Hunter Shiraz</t>
  </si>
  <si>
    <t>Points</t>
  </si>
  <si>
    <t>Vintage</t>
  </si>
  <si>
    <t>Label</t>
  </si>
  <si>
    <t>Cost</t>
  </si>
  <si>
    <t>Mkt</t>
  </si>
  <si>
    <t>END OF SHEET</t>
  </si>
  <si>
    <t>Giaconda</t>
  </si>
  <si>
    <t>Clonakilla</t>
  </si>
  <si>
    <t>Mount Mary</t>
  </si>
  <si>
    <t>Quintet</t>
  </si>
  <si>
    <t>Shiraz Voigner</t>
  </si>
  <si>
    <t>End Of Sheet</t>
  </si>
  <si>
    <t>Qty</t>
  </si>
  <si>
    <t>Region</t>
  </si>
  <si>
    <t>Notes</t>
  </si>
  <si>
    <t>END</t>
  </si>
  <si>
    <t>Heytesbury Cabernet</t>
  </si>
  <si>
    <t>Cabernet Sauvignon</t>
  </si>
  <si>
    <t>Tom Cullity Cabernet</t>
  </si>
  <si>
    <t>Riesling</t>
  </si>
  <si>
    <t>Grosset</t>
  </si>
  <si>
    <t>Mesh</t>
  </si>
  <si>
    <t>Estate Shiraz</t>
  </si>
  <si>
    <t>Warner Shiraz</t>
  </si>
  <si>
    <t>Estate Chardonnay</t>
  </si>
  <si>
    <t>Polish Hill Riesling</t>
  </si>
  <si>
    <t>Springvale Riesling</t>
  </si>
  <si>
    <t>Gaia Cabernet Blend</t>
  </si>
  <si>
    <t>Picadilly Chardonnay</t>
  </si>
  <si>
    <t>Grape</t>
  </si>
  <si>
    <t>Cab -Shiraz</t>
  </si>
  <si>
    <t>Shiraz-Cabernet</t>
  </si>
  <si>
    <t>Pinot Noir</t>
  </si>
  <si>
    <t>Bordeaux Blend</t>
  </si>
  <si>
    <t>Cab Merlot</t>
  </si>
  <si>
    <t>Cab Sav Merlot</t>
  </si>
  <si>
    <t>Vat 1 Semillon</t>
  </si>
  <si>
    <t>Vat 47 Chardonnay</t>
  </si>
  <si>
    <t>Vat 9 Shiraz</t>
  </si>
  <si>
    <t>Hilltops Shiraz</t>
  </si>
  <si>
    <t>Seppelts</t>
  </si>
  <si>
    <t>StPeters Shiraz</t>
  </si>
  <si>
    <t>Sparkling Shiraz</t>
  </si>
  <si>
    <t>Drumborg Riesling</t>
  </si>
  <si>
    <t>Moss Wood</t>
  </si>
  <si>
    <t>Cab Sauvignon</t>
  </si>
  <si>
    <t>Ribon Vale Cab Sav</t>
  </si>
  <si>
    <t>Forest Hill</t>
  </si>
  <si>
    <t>Block 1 Riesling</t>
  </si>
  <si>
    <t>Block 2 Riesling</t>
  </si>
  <si>
    <t>Duke's</t>
  </si>
  <si>
    <t>St Henri</t>
  </si>
  <si>
    <t>RWT</t>
  </si>
  <si>
    <t>Shiraz Hill Block</t>
  </si>
  <si>
    <t>Cape Mentelle</t>
  </si>
  <si>
    <t>Mount Langi</t>
  </si>
  <si>
    <t>Langi Ghiran Shiraz</t>
  </si>
  <si>
    <t>Cliff Edge Shiraz</t>
  </si>
  <si>
    <t>Score/Rating</t>
  </si>
  <si>
    <t>Shite</t>
  </si>
  <si>
    <t>Past</t>
  </si>
  <si>
    <t>Pinot Shiraz</t>
  </si>
  <si>
    <t>Great Siuthern WA</t>
  </si>
  <si>
    <t>Porongurup WA</t>
  </si>
  <si>
    <t>Beechworth VIC</t>
  </si>
  <si>
    <t>Murranbaetman NSW</t>
  </si>
  <si>
    <t>Wilyabrup WA</t>
  </si>
  <si>
    <t>Grampians VIC</t>
  </si>
  <si>
    <t>Hunter NSW</t>
  </si>
  <si>
    <t>Barossa SA</t>
  </si>
  <si>
    <t>Margaret  River  WA</t>
  </si>
  <si>
    <t>McLaren Vale SA</t>
  </si>
  <si>
    <t>Coonawarra SA</t>
  </si>
  <si>
    <t>Yalumba</t>
  </si>
  <si>
    <t>Signature</t>
  </si>
  <si>
    <t>The Caley</t>
  </si>
  <si>
    <t>The Menzies</t>
  </si>
  <si>
    <t>The Octavius</t>
  </si>
  <si>
    <t>Brokenwood</t>
  </si>
  <si>
    <t>Graveyard Shiraz</t>
  </si>
  <si>
    <t>Orange NSW</t>
  </si>
  <si>
    <t>Q</t>
  </si>
  <si>
    <t>R</t>
  </si>
  <si>
    <t xml:space="preserve">S </t>
  </si>
  <si>
    <t xml:space="preserve">T </t>
  </si>
  <si>
    <t>U</t>
  </si>
  <si>
    <t xml:space="preserve">V </t>
  </si>
  <si>
    <t>W</t>
  </si>
  <si>
    <t>X</t>
  </si>
  <si>
    <t xml:space="preserve">Y </t>
  </si>
  <si>
    <t>Z</t>
  </si>
  <si>
    <t>end OF Sheet</t>
  </si>
  <si>
    <t>Grape C</t>
  </si>
  <si>
    <t>Grape D</t>
  </si>
  <si>
    <t>Grape E</t>
  </si>
  <si>
    <t>Grape F</t>
  </si>
  <si>
    <t>Matilda Born !!</t>
  </si>
  <si>
    <t>No Further Labels Available</t>
  </si>
  <si>
    <t>END !!</t>
  </si>
  <si>
    <t>Love</t>
  </si>
  <si>
    <t>Yum</t>
  </si>
  <si>
    <t>SDS Loves</t>
  </si>
  <si>
    <t>Litho Love</t>
  </si>
  <si>
    <t>Mike Loves</t>
  </si>
  <si>
    <t>Keep !!</t>
  </si>
  <si>
    <t>Yarra Yerring</t>
  </si>
  <si>
    <t>Henschke</t>
  </si>
  <si>
    <t>Wynns</t>
  </si>
  <si>
    <t>Michael Shiraz</t>
  </si>
  <si>
    <t>Julius Riesling</t>
  </si>
  <si>
    <t>Petaluma</t>
  </si>
  <si>
    <t>Underhill Shiraz</t>
  </si>
  <si>
    <t>Dry Red Wine No.1</t>
  </si>
  <si>
    <t>Dry Red Wine No.2</t>
  </si>
  <si>
    <t>Dry Red Wine No.3</t>
  </si>
  <si>
    <t>Keyneton Euphonium</t>
  </si>
  <si>
    <t xml:space="preserve">Tappa Pass </t>
  </si>
  <si>
    <t>Mount Edelstone</t>
  </si>
  <si>
    <t>Cyril Henschke</t>
  </si>
  <si>
    <t>Hill of Grace</t>
  </si>
  <si>
    <t>Hill of Roses</t>
  </si>
  <si>
    <t xml:space="preserve">John Riddoch </t>
  </si>
  <si>
    <t>V &amp; A Lane</t>
  </si>
  <si>
    <t>The Siding</t>
  </si>
  <si>
    <t>Evans Vineyard Coonawarra</t>
  </si>
  <si>
    <t>Hanlin Hill Riesling</t>
  </si>
  <si>
    <t>3 Estates</t>
  </si>
  <si>
    <t>?</t>
  </si>
  <si>
    <t>Various</t>
  </si>
  <si>
    <t>See Saw</t>
  </si>
  <si>
    <t>Fulcra Shiraz</t>
  </si>
  <si>
    <t>Fulcra Chardonnay</t>
  </si>
  <si>
    <t>Mount Pleasant</t>
  </si>
  <si>
    <t>OP &amp; OH Shiraz</t>
  </si>
  <si>
    <t>Winery</t>
  </si>
  <si>
    <t>Drink Open</t>
  </si>
  <si>
    <t>Drink Close</t>
  </si>
  <si>
    <t>Total Cost</t>
  </si>
  <si>
    <t>Mkt Val</t>
  </si>
  <si>
    <t>Variety</t>
  </si>
  <si>
    <t>WIM98</t>
  </si>
  <si>
    <t>Vat 8 Shiraz - Cabernet</t>
  </si>
  <si>
    <t xml:space="preserve">Entity </t>
  </si>
  <si>
    <t>Eligo</t>
  </si>
  <si>
    <t>John Duval</t>
  </si>
  <si>
    <t>Clare Valley SA</t>
  </si>
  <si>
    <t>Henty VIC</t>
  </si>
  <si>
    <t>Orlando</t>
  </si>
  <si>
    <t>Steingarten</t>
  </si>
  <si>
    <t>Eden Valley SA</t>
  </si>
  <si>
    <t>Tallawanta Vineyard Semillon</t>
  </si>
  <si>
    <t>Semillon</t>
  </si>
  <si>
    <t>Wirra Wirra</t>
  </si>
  <si>
    <t>RSW</t>
  </si>
  <si>
    <t>Pooley</t>
  </si>
  <si>
    <t>Magpie Hill</t>
  </si>
  <si>
    <t>XX</t>
  </si>
  <si>
    <t>Coldstream VIC</t>
  </si>
  <si>
    <t>Coal River South TAS</t>
  </si>
  <si>
    <t>Test Winery</t>
  </si>
  <si>
    <t>The Angelus</t>
  </si>
  <si>
    <t>Yarra Valley VIC</t>
  </si>
  <si>
    <t>Chalambar Shiraz</t>
  </si>
  <si>
    <t>Black Label</t>
  </si>
  <si>
    <t>Wendowree</t>
  </si>
  <si>
    <t>Shiraz Malbec</t>
  </si>
  <si>
    <t>Shiraz Mataro</t>
  </si>
  <si>
    <t>BAS Birth Year substitute !</t>
  </si>
  <si>
    <t>T&amp;L Block</t>
  </si>
  <si>
    <t>Western Vineyard</t>
  </si>
  <si>
    <r>
      <t>HH 97  Deep red with good purple in the meniscus; it smells fresh and bright, dark fruits and spices with touches of new leather and tapenade, and the oak is not overt, a major improvement in this wine over the years. The wine is concentrated and powerful, with great depth of flavour and ample ripe tannins backing up. Long, long carry; fruit-sweet core. A smashing glass of red, with a long and rosy future—although I can also enjoy it right now. (Nick Waterman blend)</t>
    </r>
    <r>
      <rPr>
        <b/>
        <sz val="10"/>
        <color rgb="FF71746B"/>
        <rFont val="Georgia"/>
        <family val="1"/>
      </rPr>
      <t> </t>
    </r>
    <r>
      <rPr>
        <b/>
        <sz val="10"/>
        <color rgb="FFB8BFAC"/>
        <rFont val="Arial"/>
        <family val="2"/>
      </rPr>
      <t>22 MAY 2022</t>
    </r>
  </si>
  <si>
    <t>wine cellar</t>
  </si>
  <si>
    <r>
      <t>2018</t>
    </r>
    <r>
      <rPr>
        <sz val="12"/>
        <color rgb="FF71746B"/>
        <rFont val="Georgia"/>
        <family val="1"/>
      </rPr>
      <t>–</t>
    </r>
    <r>
      <rPr>
        <sz val="12"/>
        <color rgb="FF71746B"/>
        <rFont val="Inherit"/>
      </rPr>
      <t>2039</t>
    </r>
  </si>
  <si>
    <t>wim says not to drink before 2030.  had one with Forage 2023  ML, MG, etc</t>
  </si>
  <si>
    <t>GW Precise, is how it feels, and picked for its crunch rather than punch. Finish is blackberry and redcurrant, pretty, and long with a drag of tannin. Such a distinctive wine. I’m not sure there’s anything quite like Lake’s Folly red anywhere else in the world. Very much its own thing. I expect this will turn out to be one of the great ones.</t>
  </si>
  <si>
    <t>HH 98 A very fragrant wine, red and blue fruits and violets driving the fruit-driven bouquet, the 31% new oak not really marking the wine but no doubt playing its part. A wine of wonderful purity and elegance, seamless harmony and balance throughout the mouth. A great wine indeed.</t>
  </si>
  <si>
    <t>drank 2 in May 23 and fantastic… hold</t>
  </si>
  <si>
    <r>
      <t>TWF GW 97...Hang on to your hats boys and girls, Cullen are back in the game. Those ‘other’ critics may have gone large on what I’d like to call ‘the experimental vintages’ between 2008 and 2011, but trust me, this is the one. It’s hit the sweet spot. The right alcohol. The right ripeness. The righteous. The right stuff. The nexus of Margaret River, Cabernet and Cullen  – gone boom. Release July 2014
Perfect ripeness. Floral perfume, regional seaweed, aniseed and bay leaf, mixed berries – red, black and blue – backed with beautiful mocha and cedar oak. Medium bodied, super fine dense ‘graphite’ tannin – to the tooth – freshness, fruit weight, flavour, elegance and length. All here. Not a hair out of place, and yet, has character and charisma. Vivacious. Not trying too hard. Pitch perfect Margaret River Cabernet. A wine for Australia to be proud of.                                                          HH 94...Medium-depth red colour with a purple tinge. Shy, subdued bouquet with a fruit-driven kind of simplicity. Red and dark fruits. Some violets come through on the palate, which is firm and taut, elegant and attractively proportioned. A medium to full-bodied, stately, elegant cabernet blend with lovely poise and understated class. There's a purity of fruit about it. Lovely drinking and worth cellaring.</t>
    </r>
    <r>
      <rPr>
        <b/>
        <sz val="12"/>
        <color rgb="FF71746B"/>
        <rFont val="Georgia"/>
        <family val="1"/>
      </rPr>
      <t> </t>
    </r>
    <r>
      <rPr>
        <b/>
        <sz val="12"/>
        <color rgb="FFB8BFAC"/>
        <rFont val="Arial"/>
        <family val="2"/>
      </rPr>
      <t>13 APR 2014</t>
    </r>
  </si>
  <si>
    <t>HH=97The tannins are very firm and it needs more time to mellow. The concentration has ramped up to a new level here. A high-quality wine of enormous potential.     GW= 97 New label. Looks more like the Vanya offering now. I like it.
Exquisitely perfumed and balanced Cabernet of perfect proportion and weight. Flowers, cherry, dark chocolate, spicy biscuit and lead pencils. Depth of fruit and concentration, yet still comes over as svelte and fine, with freshness and fragrance, earthy bass notes, a rich seam of graphite tannin, and a long resonant finish. It’s a sensational vintage for Cullen Cabernet.</t>
  </si>
  <si>
    <t>WV 2016 – MB: Glossy, light weight and pure, with layers of spice, earthiness, savoury-nutty elements and the cavalcade of red berry fruits. A beautiful, fresh and fine-boned wine, so extremely tightly wound still, energetic, sheathed in fine tannin and exceptionally long. Really something else. Delicious drinking. 97 points, 2022-2035+</t>
  </si>
  <si>
    <t>TL1 2016 – MB: Savoury as with red fruits, woody spices, a pinosity overall and this suppleness despite the finely building pucker of lacy tannin. Succulence a thing, savouriness in herbs and sweet spice. Nourishing sort of feel, if you get the drift. So much going on. Such a stellar wine. 97 points, 2022-2035+</t>
  </si>
  <si>
    <t>HH=99    Deep red/purple colour, still youthful and fresh, the bouquet is gloriously complex and multi-faceted, loaded with smoky coal-dust, earthy, graphite nuances overlying licorice, dark cherry and dark chocolate. It's full-bodied and quite powerful, bigger than normal for Tyrrell's, with abundant tannins that are in harmony with the rest of the wine. An enormously impressive wine which is starting to drink superbly and has many years ahead of it. A smashing shiraz. 13 OCT 2020</t>
  </si>
  <si>
    <t>JO = 97  A finely honed and classically drilled long-term cabernet whose heady, floral and sweetly oaked bouquet of cassis, mulberries, dark plums, cedar and chocolate reveal undertones of dried herbs and violets. Deeply ripened, its long, complete presence of black and blue berries and plums knits tightly with creamy cedar oak, overlying a firm, powerfully structured spine of graphite-like tannins, finishing quite savoury with lingering notes of minerals and a hint of leather.     HH = 95 Very lively and buoyant with good acidity in harmony and plenty of drive and persistence. Impressive stuff: powerful, balanced and very long in the finish. Delicious flavour. 02 JUL 2012</t>
  </si>
  <si>
    <r>
      <t>JO = 96  Elegant and finely crafted, this pure, lustrous shiraz reveals a deeply layered but still rather closed bouquet of dark berries and raspberries, smoky chocolatey oak, white pepper and and violets. It’s smooth and sumptuous, with pristine, beautifully ripened flavours of sour-edged fruits extending with remarkable length, freshness and balance with smart new oak and a fine, crunchy backbone. A very modern wine of real class.                          GW 94  HH 93 Very youthful, deep, dark purple/red colour, staining the glass. Lots of coffee-like oak-derived aromas. The palate is chewy and dense, thick and tannic, with a heavy, mouthcoating wash of tannin that makes it difficult to enjoy today. Cellar it! This is a humungous shiraz!</t>
    </r>
    <r>
      <rPr>
        <sz val="12"/>
        <color rgb="FF71746B"/>
        <rFont val="Georgia"/>
        <family val="1"/>
      </rPr>
      <t> </t>
    </r>
    <r>
      <rPr>
        <sz val="12"/>
        <color rgb="FFB8BFAC"/>
        <rFont val="Arial"/>
        <family val="2"/>
      </rPr>
      <t>07 NOV 2014</t>
    </r>
  </si>
  <si>
    <t>Tolpuddle</t>
  </si>
  <si>
    <t>Pinot</t>
  </si>
  <si>
    <t>HH97.  Very light colour with a delightful bouquet of fresh and dried flowers, intense and already showing above-average complexity of bouquet and flavour. It’s intense and rich in the mouth at the same time refined and subtle, delicate and stylish, a tracery of sweetness underlining the gorgeous fruit flavours and countering any suggestion of austerity. Long, long carry. An absolutely superb young riesling with a big future ahead of it........</t>
  </si>
  <si>
    <t>HH97 Excellent depth of red with a strong purple tint, the bouquet black cherry, meaty/charcuterie and mossy undergrowth, while the palate is full and strong, with richness and fleshy extract aplenty, a powerful wine with tannins that are assertive and long. A subtle stalky whole-bunch note on the follow-through. A solidly built pinot of impressive concentration and real substance</t>
  </si>
  <si>
    <r>
      <t>Huon</t>
    </r>
    <r>
      <rPr>
        <b/>
        <sz val="12"/>
        <color rgb="FF000000"/>
        <rFont val="Georgia"/>
        <family val="1"/>
      </rPr>
      <t> </t>
    </r>
    <r>
      <rPr>
        <b/>
        <sz val="12"/>
        <color rgb="FF000000"/>
        <rFont val="Inherit"/>
      </rPr>
      <t>Hooke  A very deep, bright, youthful purple colour leads into a superbly ripe cabernet nose, black fruits and smoky, graphite aromas with a faint suggestion of bitumen or creosote. No greener, leafy notes at all. The wine is full-bodied yet elegantly stated, with richness and intensity and terrific palate length. There's a lovely fruit-sweet core to it. It's definitely a warmer-year Coonawarra cabernet. This is a cracking Black Label. 05 SEP 2021</t>
    </r>
  </si>
  <si>
    <r>
      <t>Deep, bright purple/red colour. Clean, fresh black fruit aromas with a slight floral note. It's intense and tightly focused, firm and superbly structured on the palate, with well-measured tannins adding a smooth but decisive firmness and authority to the back palate and aftertaste. An excellent wine, in which the cabernet and shiraz are superbly melded.</t>
    </r>
    <r>
      <rPr>
        <b/>
        <sz val="12"/>
        <color rgb="FF71746B"/>
        <rFont val="Georgia"/>
        <family val="1"/>
      </rPr>
      <t> </t>
    </r>
    <r>
      <rPr>
        <b/>
        <sz val="12"/>
        <color rgb="FFB8BFAC"/>
        <rFont val="Arial"/>
        <family val="2"/>
      </rPr>
      <t>12 AUG 2014</t>
    </r>
  </si>
  <si>
    <t>Bob Campbell This is a delicious cabernet shiraz blend that’s probably in its prime. Silken-textured wine with layers of sweet berry fruit, coffee, mixed spice and subtle 'forest floor' flavours. A complex wine that’s long and linear. 11 JUN 2018</t>
  </si>
  <si>
    <r>
      <t>If you doubt that Cabernet Sauvignon and Shiraz make ideal stable-mates, this wine might change your mind. It’s a dense, classy red with strong dark berry, plum, spice and oak flavours. Firm, ripe tannins are smothered by sweet fruit. Classy wine that’s a pleasure to taste.</t>
    </r>
    <r>
      <rPr>
        <b/>
        <sz val="12"/>
        <color rgb="FF71746B"/>
        <rFont val="Georgia"/>
        <family val="1"/>
      </rPr>
      <t> </t>
    </r>
    <r>
      <rPr>
        <b/>
        <sz val="12"/>
        <color rgb="FFB8BFAC"/>
        <rFont val="Arial"/>
        <family val="2"/>
      </rPr>
      <t>25 JUL 2015</t>
    </r>
  </si>
  <si>
    <t>HH.  Deep, bright, youthful purple/red colour with a rich, meaty, slightly oak-accented bouquet, beneath which lovely cassis and violet aromas emerge as it airs in the glass. The wine is medium-bodied and leanish with slightly firm-edged tannins, the acidity notable but balanced. The flavours are compellingly complex even at this young age. A delicious wine which promises to cellar superbly.</t>
  </si>
  <si>
    <t>https://youtu.be/ZHWtHj2Il1Q        HH Very bright, youthful, deep purple/red colour, and a lovely bouquet of blackberry and cassis, oak making a subtle contribution, the palate intense and powerful, full-bodied but not big or anywhere near a blockbuster, the tannins abundant and supple, fine-grained and persistent for the entire palate. An utterly gorgeous wine, cabernet characteristics well in evidence, but already complex, profound and multi-layered. Wonderful flavour and precision. Prodigious length, seamless harmony and great potential - although it's a great drink now. 16 JUL 2020</t>
  </si>
  <si>
    <r>
      <t>Deep red/purple colour. The bouquet is shy and subdued but clean and correct, with good cabernet fruit hints. The palate is full and rich, smooth and supple, with expansive flavour and generosity, and is remarkably approachable although it appears to have a rosy cellaring future. It's rich and profound in fruit and flavour, a classic cabernet of real style and charm. (13% malbec; 1% petit verdot)</t>
    </r>
    <r>
      <rPr>
        <b/>
        <sz val="10"/>
        <color rgb="FF71746B"/>
        <rFont val="Georgia"/>
        <family val="1"/>
      </rPr>
      <t> </t>
    </r>
    <r>
      <rPr>
        <b/>
        <sz val="10"/>
        <color rgb="FFB8BFAC"/>
        <rFont val="Arial"/>
        <family val="2"/>
      </rPr>
      <t>09 MAY 2015</t>
    </r>
  </si>
  <si>
    <t>HH   The palate is terrifically rich and deep, sumptuously flavoured and smoothly textured despite the welter of tannin. It's very full-bodied and there are lashings of tannin, but they're good tannins. It's a big but nicely balanced wine, with good acidity lurking beneath the mouth-coating flavour and tannin and keeping it all lively. Very long. This needs time and will be an outstanding RWT</t>
  </si>
  <si>
    <r>
      <t>HH 97/95   Generous sweet fruit, almost syrupy, and very oak-tannic, with an aftertaste of oak and alcohol vapour. Very tannic and grippy. Difficult to enjoy today, it needs years before opening</t>
    </r>
    <r>
      <rPr>
        <b/>
        <sz val="12"/>
        <color rgb="FF71746B"/>
        <rFont val="Georgia"/>
        <family val="1"/>
      </rPr>
      <t> </t>
    </r>
  </si>
  <si>
    <t>Medium weight, powerfully flavoured but very closed and restrained, this coiled, sleeper of a shiraz slowly unfolds a sweet, floral and faintly minty bouquet of sweet redcurrants, blueberries, mulberries and fresh vanilla/cedar oak lifted by scents of five spice and cracked pepper. It’s long and supple, very primary and undeveloped, with a seamless core of red and blue fruit and fresh oak underpinned by a minerally extract, finishing with length, shape and freshness. Keep it!!!</t>
  </si>
  <si>
    <r>
      <t>Very deep red/purple colour, with a perfumed spicy and herbal bouquet. The palate is full, open and soft, and remarkably accessible for its youth. It's peppery, briary and gentle of tannin, with a very soft, medium-length finish. Some vegetal and humus notes. A very charming shiraz.</t>
    </r>
    <r>
      <rPr>
        <sz val="12"/>
        <color rgb="FF71746B"/>
        <rFont val="Georgia"/>
        <family val="1"/>
      </rPr>
      <t> </t>
    </r>
    <r>
      <rPr>
        <sz val="12"/>
        <color rgb="FFB8BFAC"/>
        <rFont val="Arial"/>
        <family val="2"/>
      </rPr>
      <t>13 MAY 2020</t>
    </r>
  </si>
  <si>
    <r>
      <t>HH  Very deep, bright red/purple colour, youthful and concentrated, the perfumed bouquet showing nutmeg, walnut, savoury and oak-tinged, with discreet violets and berries in the background. The palate is full-bodied but elegantly-styled and tightly-structured, with abundant firm tannins. Intense and focused, it's a little closed at present and needs more time. If you pour it now, give it time in the glass (or decanter), and you'll be rewarded.</t>
    </r>
    <r>
      <rPr>
        <sz val="14"/>
        <color rgb="FF71746B"/>
        <rFont val="Georgia"/>
        <family val="1"/>
      </rPr>
      <t> </t>
    </r>
    <r>
      <rPr>
        <sz val="14"/>
        <color rgb="FFB8BFAC"/>
        <rFont val="Arial"/>
        <family val="2"/>
      </rPr>
      <t>06 MAR 2019</t>
    </r>
  </si>
  <si>
    <t>JeremyO.  A very stylish, St-Julien-like cabernet whose rather dusty, floral bouquet of dark fruits and fragrant cedar/chocolate/vanilla oak reveal undertones of earthy complexity and a hint of dried herbs. Sumptuously fruited, ripe and juicy, its plush flavours of small berries and plums are still tightly restrained by firmish, bony and fine-grained tannins and backed by smooth, sweet oak. It finishes quite savoury, with pleasing length and texture. It clearly has many years to develop</t>
  </si>
  <si>
    <t>HH  Deep red/purple colour. The bouquet is like a first growth Bordeaux: superb oak and very fine, classy violets, cassis and cedar aromas. It's full-bodied, concentrated and powerful: a glorious mouthful of cabernet. Great power, length and harmony. Lots of oak and soft, ripe tannins that melt on the tongue. A magnificent wine, built for long-term aging. (15% merlot. It was my top wine of the Cape Mentelle International Cabernet Tasting 2017)</t>
  </si>
  <si>
    <t>HH  Deep colour, good hue. The bouquet is marvellously complex: mossy undergrowth, sousbois, tobacco, nori and dried herbs galore. It's a more elegant style than the 2014 or 2009, understated and finessed yet piercingly intense with fine, soft tannins and a long carry. 29 NOV 2020'</t>
  </si>
  <si>
    <t>HH   Medium-bodied at the most, it has appealing youthful flavour and balance, length and harmony, with a thread of fine-grained tannins running throughout the palate. A bright and vibrant wine, not a 'try hard' style, but very elegant, and effortless. Tremendous length, with the tannins making an important contribution. Not a very powerful Cullen, but pretty and will no doubt live and age well. 17 APR 2012</t>
  </si>
  <si>
    <t>HH 93   Jeremy O 96</t>
  </si>
  <si>
    <t>JOliver 95   DRINK  HH A fragrant aroma incorporating dried flowers or pot pourri, with some dried herb and lemon citrus notes. Tight and fine, intense and lively with lots of energy. Searing intensity powered by acid. A racy, bracing wine that promises to be a long keeper. 23 OCT 2014
2015–2024</t>
  </si>
  <si>
    <t>JOliver  Perhaps the finest wine under this label.       HHVery light colour, almost green tinted, the bouquet limes and green apples, scintillatingly fresh and vibrant, the palate also high-energy and refreshing, dry but not austere, the length prodigious. Great riesling. 16 AUG 2022
2022–2031</t>
  </si>
  <si>
    <r>
      <t>HH  A polished wine poised for greatness. The aromatics are delicate and respectful, though they will undoubtedly grow with time. The palate is personified by power and presence with impressive lemony persistence on the palate. It will be hard to resist when young, but it will show its true colours with age</t>
    </r>
    <r>
      <rPr>
        <sz val="12"/>
        <color rgb="FF71746B"/>
        <rFont val="Georgia"/>
        <family val="1"/>
      </rPr>
      <t> </t>
    </r>
    <r>
      <rPr>
        <sz val="12"/>
        <color rgb="FFB8BFAC"/>
        <rFont val="Arial"/>
        <family val="2"/>
      </rPr>
      <t>06 OCT 2017</t>
    </r>
  </si>
  <si>
    <t>JOliver  Assertive, impactful and austere; lime juice, lemon pith and golden apple skin with floral and mineral notes; long and slatey; remarkable</t>
  </si>
  <si>
    <t>JOliver    From the stellar 2021 vintage comes a Polish Hill steeped in perfume and flavour and superbly shaped around a fine, slatey texture and mouthwatering, brittle acidity. Pristine scents of red apple skin, lime juice and lemon zest are lifted by heady aromas of white flowers and iris, with undertones of pear and chalk. It’s lustrous and deeply layered, with vivacious fruit that drives long and penetrative towards a finish of superb balance and persistence.</t>
  </si>
  <si>
    <t>May '23 wim 92  either Drink or hold…</t>
  </si>
  <si>
    <r>
      <t>HH  Deep, dark red/purple colour, with a rich, ripe, dark plum aroma. The palate is intense and rich, fleshy and strongly structure, but approachable now. Discreet spices, black licorice hints and smoky charred oak. It has the muscle to age superbly.</t>
    </r>
    <r>
      <rPr>
        <sz val="8"/>
        <color rgb="FF71746B"/>
        <rFont val="Georgia"/>
        <family val="1"/>
      </rPr>
      <t> </t>
    </r>
    <r>
      <rPr>
        <sz val="6"/>
        <color rgb="FFB8BFAC"/>
        <rFont val="Arial"/>
        <family val="2"/>
      </rPr>
      <t>15 MAR 202</t>
    </r>
  </si>
  <si>
    <r>
      <t>HH  Very deep red/purple colour, very young and bold. The bouquet is all about black plum and dark chocolate, while the palate is essency and rich, sweetly super-ripe and succulent, with massive tannins bringing up the rear. It needs a lot of time. Excellent potential.</t>
    </r>
    <r>
      <rPr>
        <sz val="8"/>
        <color rgb="FF71746B"/>
        <rFont val="Georgia"/>
        <family val="1"/>
      </rPr>
      <t> </t>
    </r>
    <r>
      <rPr>
        <sz val="6"/>
        <color rgb="FFB8BFAC"/>
        <rFont val="Arial"/>
        <family val="2"/>
      </rPr>
      <t>16 JUL 2015</t>
    </r>
  </si>
  <si>
    <t>CM  Shiraz from Krondorf, Eden Valley, Light Pass, Moppa and Ebenezer (sub) regions. 52% Eden Valley, 48% Barossa. 100% barrel matured for 15 months; 31% new fine-grained French oak.
Duval’s Entity Shiraz nails it again. This is walk up quality. Deep dark berried fruit flavours, swish smoky/cedary oak, ripples of spice-infused tannin. Plenty of length, all fine and filigreed. It’s warm-hearted but it’s manicured. It’s also eminently seductive.</t>
  </si>
  <si>
    <t>Bob Campbell
Padthaway, McLaren Vale, Coonawarra, Wrattonbully &amp; Barossa Valley. I'm a card-carrying member of the Bin 389 lovers club. Known affectionately as baby Grange, Bin 389 has just celebrated its 60th birthday. This youthful example is one of the better vintages I have tried but if you think it is good now, wait and see what it tastes like in another decade or two. 10 NOV 2021</t>
  </si>
  <si>
    <t>HH 95  Deep red with a good purple tint; the aroma is well integrated with nothing standing out: nicely balanced spice and berry, smoke and toasty-barrel touches, earth and dark-plum and traces of black pepper. The palate is intense and full-bodied, with a good degree of elegance but also plenty of trad Penfolds bite and grip. A superbly rich, balanced and rounded wine; a complete item, and an outstanding Bin 389. The finish rolls on and on. 23 SEP 2014</t>
  </si>
  <si>
    <t>HH 96  Deep, dense red/purple colour, with a bouquet of rich spice and chocolate and dark fruit aromas all well-balanced in the mix. The berries of cabernet and the earthy/spice of shiraz are both identifiable. It's a very full-bodied, rich, dense, concentrated wine, with lashings of tannins which are firm and gripping on the finish. A very long carry. A very big wine, massively structured and impressive, with great power and ageing potential. A wine that manages to tread the fine line between big structure and softness and accessibility. Still, I would cellar it a few years before broaching. (51% cabernet sauvignon, 49% shiraz) 28 AUG 2018
2021–2046</t>
  </si>
  <si>
    <t>Weingut Bernhard</t>
  </si>
  <si>
    <t>Annexus</t>
  </si>
  <si>
    <t>O'Leary Walker</t>
  </si>
  <si>
    <t>Glass-staining purple colour with a sweet blackberry, floral, charry oak and vanilla/chocolate bouquet, a bright bold fruit character like blackcurrant pastilles. A touch of dried herbs ... thyme and oregano. Concentrated sweet fruit. Tannins are drying and firm, a solid full-bodied shiraz that needs a bit of time and will certainly reward keeping. HH&gt;95                                                                                                                              Mike Bennie   ...  The John Duval wines really are modern classics. This is the first release of Annexus shiraz. This comes from a single vineyard of Eden Valley shiraz that often finds its way into blending for the general shiraz wines from John Duval. It sees 25% new French oak. 
It’s got tension and precision written all over it. Heavily perfumed in forest berries, dark chocolate, alpine herbs and new leather/mahogany Chesterfield chair kinda thing. It’s succulent in texture, fine and firm in the palate and stretches luxuriously long. All of that perfume translates to flavours, a bit of extra cedar oak seasoning and a touch of sweet-earthiness too. It’s beautifully balance and all up classy.  95</t>
  </si>
  <si>
    <t>HH  96  Intense purple-red colour and a spicy/meaty and dried-herb bouquet, very fragrant for such a big, powerful shiraz, with dried thyme, oregano and mace notes. The palate is powerful, concentrated and the intensity driving and long. There is delicious fruit sweetness and a warming heart to this lovely wine. Great to drink now and for at least 20 years more.</t>
  </si>
  <si>
    <t>Polish Hill R R</t>
  </si>
  <si>
    <t>HH 96  Very intense and generous bouquet of mixed flowers, super-fragrant and scented, the palate likewise intense and bracingly dry with a touch of tannin augmenting the mouth-watering dryness. It's almost searingly crisp and intense, rapier-sharp and long-lasting. Quartzy mineral nuances. Very long carry. It will richly reward cellaring.    TWF 95  Mineral-savoury start with wet stones, flint, brown limes and sage. Flavours are a pleasant continuation, full and round, filled with fleshy nectarines and pears in the middle, slightly grilled. Grapefruit finish with a dusting of pepper and nutmeg spice. I really enjoy the structure and texture of this wine, it has weight and detail. Feels like a whole wine, with front middle and back, confident and very well made. It’s a great deal of satisfaction</t>
  </si>
  <si>
    <t>Austria Wagram</t>
  </si>
  <si>
    <t>Residual sugars.. Sweet … yellow…  compare over the years and lets see….</t>
  </si>
  <si>
    <t>HH  Very vibrant, piercing aromas of lemongrass, lemon pith and verbena. The palate is tense and penetrating, dry and almost austere, with elevated acidity and lip-smacking refreshing properties. A trace of bitterness on the back-palate. This demands food and should develop superbly with age</t>
  </si>
  <si>
    <t>JAS   … very light.   Try in 2028</t>
  </si>
  <si>
    <t>JAS  …  94</t>
  </si>
  <si>
    <t>GW 98..Incredible power and concentration here, and yet, still lithe and so finely wrought. It’s ultra-mineral in feel with iron and dense graphite tannin, but perfumed and spice-laden too. The quality and feel of tannin here is something quite extraordinary. Plum and dark cherry, dark tobacco, whiff of empty chocolate box, superb length of flavour. Essence of Cabernet. Essential Cabernet. We’ve never had it so good.   MB=96.  HH= 98               MB: Magnificent wine. Flavour, perfume, tension, structure, detail, and those epic-epic tannins. Texture is such a feature here, so too freshness and sense of movement. Dark berries, mocha licked, bay leaf, sea spray, fennel. All going on. Remarkable wine. 97 points
GW: Painfully young. All mulberry and crushed fresh berries, violet, intense but light, tannin is a slide of graphite and shale, perfume and vibrant fruit and a superb long and chiseled finish. Wow. 97-98 points  June '21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</si>
</sst>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quot;$&quot;* #,##0.00_-;\-&quot;$&quot;* #,##0.00_-;_-&quot;$&quot;* &quot;-&quot;??_-;_-@_-"/>
    <numFmt numFmtId="165" formatCode="_-&quot;$&quot;* #,##0_-;\-&quot;$&quot;* #,##0_-;_-&quot;$&quot;* &quot;-&quot;??_-;_-@_-"/>
  </numFmts>
  <fonts count="44">
    <font>
      <sz val="11"/>
      <color theme="1"/>
      <name val="Calibri"/>
      <family val="2"/>
      <scheme val="minor"/>
    </font>
    <font>
      <sz val="11"/>
      <color theme="1"/>
      <name val="Calibri"/>
      <family val="2"/>
      <scheme val="minor"/>
    </font>
    <font>
      <b/>
      <sz val="12"/>
      <color theme="1"/>
      <name val="Calibri"/>
      <family val="2"/>
      <scheme val="minor"/>
    </font>
    <font>
      <b/>
      <sz val="11"/>
      <color theme="1"/>
      <name val="Calibri"/>
      <family val="2"/>
      <scheme val="minor"/>
    </font>
    <font>
      <b/>
      <sz val="16"/>
      <color theme="1"/>
      <name val="Calibri"/>
      <family val="2"/>
      <scheme val="minor"/>
    </font>
    <font>
      <b/>
      <sz val="11"/>
      <color rgb="FFFF00FF"/>
      <name val="Calibri"/>
      <family val="2"/>
    </font>
    <font>
      <b/>
      <sz val="11"/>
      <color rgb="FF0000FF"/>
      <name val="Calibri"/>
      <family val="2"/>
    </font>
    <font>
      <b/>
      <sz val="12"/>
      <color rgb="FFFF0000"/>
      <name val="Calibri"/>
      <family val="2"/>
    </font>
    <font>
      <b/>
      <sz val="12"/>
      <color rgb="FF99CC00"/>
      <name val="Calibri"/>
      <family val="2"/>
    </font>
    <font>
      <b/>
      <sz val="10"/>
      <color rgb="FF00CCFF"/>
      <name val="Calibri"/>
      <family val="2"/>
    </font>
    <font>
      <b/>
      <sz val="10"/>
      <color rgb="FFCC99FF"/>
      <name val="Calibri"/>
      <family val="2"/>
    </font>
    <font>
      <b/>
      <sz val="11"/>
      <color rgb="FFFF99CC"/>
      <name val="Calibri"/>
      <family val="2"/>
    </font>
    <font>
      <b/>
      <sz val="11"/>
      <color rgb="FF008000"/>
      <name val="Calibri"/>
      <family val="2"/>
    </font>
    <font>
      <b/>
      <sz val="11"/>
      <color rgb="FF000000"/>
      <name val="Calibri"/>
      <family val="2"/>
    </font>
    <font>
      <b/>
      <sz val="5"/>
      <color rgb="FF111111"/>
      <name val="Roboto"/>
    </font>
    <font>
      <b/>
      <sz val="12"/>
      <color rgb="FFFF9900"/>
      <name val="Calibri"/>
      <family val="2"/>
    </font>
    <font>
      <b/>
      <sz val="11"/>
      <color rgb="FFFF6600"/>
      <name val="Calibri"/>
      <family val="2"/>
    </font>
    <font>
      <b/>
      <sz val="11"/>
      <color rgb="FF9999FF"/>
      <name val="Calibri"/>
      <family val="2"/>
    </font>
    <font>
      <b/>
      <sz val="10"/>
      <color rgb="FF000000"/>
      <name val="Georgia"/>
      <family val="1"/>
    </font>
    <font>
      <b/>
      <sz val="10"/>
      <color rgb="FF71746B"/>
      <name val="Georgia"/>
      <family val="1"/>
    </font>
    <font>
      <b/>
      <sz val="10"/>
      <color rgb="FFB8BFAC"/>
      <name val="Arial"/>
      <family val="2"/>
    </font>
    <font>
      <sz val="12"/>
      <color rgb="FF000000"/>
      <name val="Inherit"/>
    </font>
    <font>
      <sz val="12"/>
      <color rgb="FF71746B"/>
      <name val="Georgia"/>
      <family val="1"/>
    </font>
    <font>
      <sz val="12"/>
      <color rgb="FFB8BFAC"/>
      <name val="Arial"/>
      <family val="2"/>
    </font>
    <font>
      <sz val="12"/>
      <color rgb="FF71746B"/>
      <name val="Inherit"/>
    </font>
    <font>
      <b/>
      <sz val="12"/>
      <color rgb="FF000000"/>
      <name val="Inherit"/>
    </font>
    <font>
      <b/>
      <sz val="12"/>
      <color rgb="FF71746B"/>
      <name val="Georgia"/>
      <family val="1"/>
    </font>
    <font>
      <b/>
      <sz val="12"/>
      <color rgb="FFB8BFAC"/>
      <name val="Arial"/>
      <family val="2"/>
    </font>
    <font>
      <b/>
      <sz val="11"/>
      <color rgb="FF353535"/>
      <name val="Arial"/>
      <family val="2"/>
    </font>
    <font>
      <sz val="12"/>
      <color rgb="FF000000"/>
      <name val="Georgia"/>
      <family val="1"/>
    </font>
    <font>
      <b/>
      <sz val="12"/>
      <color rgb="FF000000"/>
      <name val="Georgia"/>
      <family val="1"/>
    </font>
    <font>
      <u/>
      <sz val="11"/>
      <color theme="10"/>
      <name val="Calibri"/>
      <family val="2"/>
      <scheme val="minor"/>
    </font>
    <font>
      <b/>
      <sz val="11"/>
      <color rgb="FF000000"/>
      <name val="Georgia"/>
      <family val="1"/>
    </font>
    <font>
      <sz val="12"/>
      <color rgb="FF404040"/>
      <name val="Arial"/>
      <family val="2"/>
    </font>
    <font>
      <sz val="14"/>
      <color rgb="FF353535"/>
      <name val="Arial"/>
      <family val="2"/>
    </font>
    <font>
      <sz val="14"/>
      <color rgb="FF000000"/>
      <name val="Georgia"/>
      <family val="1"/>
    </font>
    <font>
      <sz val="14"/>
      <color rgb="FF71746B"/>
      <name val="Georgia"/>
      <family val="1"/>
    </font>
    <font>
      <sz val="14"/>
      <color rgb="FFB8BFAC"/>
      <name val="Arial"/>
      <family val="2"/>
    </font>
    <font>
      <sz val="12"/>
      <color rgb="FF404040"/>
      <name val="Roboto"/>
    </font>
    <font>
      <b/>
      <sz val="12"/>
      <color rgb="FF404040"/>
      <name val="Roboto"/>
    </font>
    <font>
      <sz val="8"/>
      <color rgb="FF000000"/>
      <name val="Georgia"/>
      <family val="1"/>
    </font>
    <font>
      <sz val="8"/>
      <color rgb="FF71746B"/>
      <name val="Georgia"/>
      <family val="1"/>
    </font>
    <font>
      <sz val="6"/>
      <color rgb="FFB8BFAC"/>
      <name val="Arial"/>
      <family val="2"/>
    </font>
    <font>
      <sz val="12"/>
      <color rgb="FF353535"/>
      <name val="Arial"/>
      <family val="2"/>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3">
    <xf numFmtId="0" fontId="0" fillId="0" borderId="0"/>
    <xf numFmtId="164" fontId="1" fillId="0" borderId="0" applyFont="0" applyFill="0" applyBorder="0" applyAlignment="0" applyProtection="0"/>
    <xf numFmtId="0" fontId="31" fillId="0" borderId="0" applyNumberFormat="0" applyFill="0" applyBorder="0" applyAlignment="0" applyProtection="0"/>
  </cellStyleXfs>
  <cellXfs count="51">
    <xf numFmtId="0" fontId="0" fillId="0" borderId="0" xfId="0"/>
    <xf numFmtId="0" fontId="0" fillId="0" borderId="0" xfId="0" applyAlignment="1">
      <alignment vertical="center" wrapText="1"/>
    </xf>
    <xf numFmtId="0" fontId="0" fillId="0" borderId="0" xfId="0" applyAlignment="1">
      <alignment horizontal="left" vertical="center" wrapText="1"/>
    </xf>
    <xf numFmtId="0" fontId="0" fillId="0" borderId="0" xfId="0" applyAlignment="1">
      <alignment horizontal="center"/>
    </xf>
    <xf numFmtId="0" fontId="2" fillId="0" borderId="0" xfId="0" applyFont="1"/>
    <xf numFmtId="0" fontId="2" fillId="0" borderId="0" xfId="0" applyFont="1" applyAlignment="1">
      <alignment horizontal="center"/>
    </xf>
    <xf numFmtId="0" fontId="4" fillId="0" borderId="0" xfId="0" applyFont="1"/>
    <xf numFmtId="0" fontId="4" fillId="2" borderId="0" xfId="0" applyFont="1" applyFill="1" applyAlignment="1">
      <alignment horizontal="center" wrapText="1"/>
    </xf>
    <xf numFmtId="0" fontId="4" fillId="2" borderId="0" xfId="0" applyFont="1" applyFill="1" applyAlignment="1">
      <alignment horizontal="center" vertical="center"/>
    </xf>
    <xf numFmtId="0" fontId="4" fillId="2" borderId="0" xfId="0" applyFont="1" applyFill="1" applyAlignment="1">
      <alignment vertical="center"/>
    </xf>
    <xf numFmtId="0" fontId="4" fillId="2" borderId="0" xfId="0" applyFont="1" applyFill="1" applyAlignment="1">
      <alignment horizontal="center" vertical="center" wrapText="1"/>
    </xf>
    <xf numFmtId="0" fontId="0" fillId="0" borderId="0" xfId="0" applyAlignment="1">
      <alignment horizontal="left"/>
    </xf>
    <xf numFmtId="0" fontId="2" fillId="0" borderId="0" xfId="0" applyFont="1" applyAlignment="1">
      <alignment horizontal="left"/>
    </xf>
    <xf numFmtId="0" fontId="4" fillId="2" borderId="0" xfId="0" applyFont="1" applyFill="1" applyAlignment="1">
      <alignment horizontal="center"/>
    </xf>
    <xf numFmtId="0" fontId="2" fillId="0" borderId="0" xfId="0" applyFont="1" applyProtection="1">
      <protection locked="0"/>
    </xf>
    <xf numFmtId="165" fontId="0" fillId="0" borderId="0" xfId="1" applyNumberFormat="1" applyFont="1" applyProtection="1"/>
    <xf numFmtId="0" fontId="14" fillId="0" borderId="0" xfId="0" applyFont="1" applyProtection="1">
      <protection locked="0"/>
    </xf>
    <xf numFmtId="0" fontId="0" fillId="0" borderId="0" xfId="0" applyProtection="1">
      <protection locked="0"/>
    </xf>
    <xf numFmtId="0" fontId="18" fillId="0" borderId="0" xfId="0" applyFont="1" applyAlignment="1">
      <alignment wrapText="1"/>
    </xf>
    <xf numFmtId="0" fontId="21" fillId="0" borderId="0" xfId="0" applyFont="1" applyAlignment="1">
      <alignment horizontal="left" vertical="center" wrapText="1"/>
    </xf>
    <xf numFmtId="0" fontId="24" fillId="0" borderId="0" xfId="0" applyFont="1" applyAlignment="1">
      <alignment horizontal="left" vertical="center" wrapText="1" indent="1"/>
    </xf>
    <xf numFmtId="0" fontId="2" fillId="0" borderId="0" xfId="0" applyFont="1" applyAlignment="1" applyProtection="1">
      <alignment vertical="center"/>
      <protection locked="0"/>
    </xf>
    <xf numFmtId="0" fontId="2" fillId="0" borderId="0" xfId="0" applyFont="1" applyAlignment="1" applyProtection="1">
      <alignment vertical="center" wrapText="1"/>
      <protection locked="0"/>
    </xf>
    <xf numFmtId="0" fontId="2" fillId="0" borderId="0" xfId="0" applyFont="1" applyAlignment="1">
      <alignment horizontal="center" vertical="center"/>
    </xf>
    <xf numFmtId="0" fontId="2" fillId="0" borderId="0" xfId="0" applyFont="1" applyAlignment="1" applyProtection="1">
      <alignment horizontal="center" vertical="center"/>
      <protection locked="0"/>
    </xf>
    <xf numFmtId="0" fontId="25" fillId="0" borderId="0" xfId="0" applyFont="1" applyAlignment="1">
      <alignment horizontal="center" vertical="center" wrapText="1"/>
    </xf>
    <xf numFmtId="0" fontId="2" fillId="0" borderId="0" xfId="0" applyFont="1" applyAlignment="1">
      <alignment vertical="center"/>
    </xf>
    <xf numFmtId="0" fontId="2" fillId="0" borderId="0" xfId="0" applyFont="1" applyAlignment="1">
      <alignment horizontal="left" vertical="center"/>
    </xf>
    <xf numFmtId="0" fontId="28" fillId="0" borderId="0" xfId="0" applyFont="1" applyAlignment="1">
      <alignment vertical="center" wrapText="1"/>
    </xf>
    <xf numFmtId="0" fontId="2" fillId="0" borderId="0" xfId="0" applyFont="1" applyAlignment="1">
      <alignment wrapText="1"/>
    </xf>
    <xf numFmtId="0" fontId="29" fillId="0" borderId="0" xfId="0" applyFont="1" applyAlignment="1">
      <alignment wrapText="1"/>
    </xf>
    <xf numFmtId="0" fontId="2" fillId="0" borderId="0" xfId="0" applyFont="1" applyAlignment="1" applyProtection="1">
      <alignment wrapText="1"/>
      <protection locked="0"/>
    </xf>
    <xf numFmtId="0" fontId="25" fillId="0" borderId="0" xfId="0" applyFont="1" applyAlignment="1">
      <alignment horizontal="left" vertical="center" wrapText="1"/>
    </xf>
    <xf numFmtId="0" fontId="30" fillId="0" borderId="0" xfId="0" applyFont="1" applyAlignment="1">
      <alignment wrapText="1"/>
    </xf>
    <xf numFmtId="0" fontId="2" fillId="0" borderId="0" xfId="0" applyFont="1" applyAlignment="1">
      <alignment horizontal="center" vertical="center" wrapText="1"/>
    </xf>
    <xf numFmtId="0" fontId="3" fillId="0" borderId="0" xfId="0" applyFont="1" applyAlignment="1">
      <alignment horizontal="center" vertical="center"/>
    </xf>
    <xf numFmtId="0" fontId="0" fillId="0" borderId="0" xfId="0" applyAlignment="1">
      <alignment horizontal="center" vertical="center"/>
    </xf>
    <xf numFmtId="0" fontId="2" fillId="0" borderId="0" xfId="0" applyFont="1" applyAlignment="1" applyProtection="1">
      <alignment horizontal="center" vertical="center" wrapText="1"/>
      <protection locked="0"/>
    </xf>
    <xf numFmtId="0" fontId="31" fillId="0" borderId="0" xfId="2" applyAlignment="1" applyProtection="1">
      <alignment horizontal="center" vertical="center" wrapText="1"/>
      <protection locked="0"/>
    </xf>
    <xf numFmtId="0" fontId="32" fillId="0" borderId="0" xfId="0" applyFont="1" applyAlignment="1">
      <alignment vertical="center" wrapText="1"/>
    </xf>
    <xf numFmtId="0" fontId="33" fillId="0" borderId="0" xfId="0" applyFont="1" applyAlignment="1">
      <alignment wrapText="1"/>
    </xf>
    <xf numFmtId="0" fontId="34" fillId="0" borderId="0" xfId="0" applyFont="1" applyAlignment="1">
      <alignment vertical="center" wrapText="1"/>
    </xf>
    <xf numFmtId="0" fontId="29" fillId="0" borderId="0" xfId="0" applyFont="1" applyAlignment="1">
      <alignment horizontal="center" vertical="center" wrapText="1"/>
    </xf>
    <xf numFmtId="0" fontId="35" fillId="0" borderId="0" xfId="0" applyFont="1" applyAlignment="1">
      <alignment wrapText="1"/>
    </xf>
    <xf numFmtId="0" fontId="33" fillId="0" borderId="0" xfId="0" applyFont="1" applyAlignment="1">
      <alignment horizontal="center" vertical="center" wrapText="1"/>
    </xf>
    <xf numFmtId="0" fontId="21" fillId="0" borderId="0" xfId="0" applyFont="1" applyAlignment="1">
      <alignment horizontal="center" vertical="center" wrapText="1"/>
    </xf>
    <xf numFmtId="0" fontId="39" fillId="0" borderId="0" xfId="0" applyFont="1" applyAlignment="1">
      <alignment horizontal="center" vertical="center" wrapText="1"/>
    </xf>
    <xf numFmtId="0" fontId="38" fillId="0" borderId="0" xfId="0" applyFont="1" applyAlignment="1">
      <alignment horizontal="center" vertical="center" wrapText="1"/>
    </xf>
    <xf numFmtId="0" fontId="40" fillId="0" borderId="0" xfId="0" applyFont="1" applyAlignment="1">
      <alignment wrapText="1"/>
    </xf>
    <xf numFmtId="0" fontId="29" fillId="0" borderId="0" xfId="0" applyFont="1" applyAlignment="1">
      <alignment horizontal="left" wrapText="1"/>
    </xf>
    <xf numFmtId="0" fontId="43" fillId="0" borderId="0" xfId="0" applyFont="1" applyAlignment="1">
      <alignment wrapText="1"/>
    </xf>
  </cellXfs>
  <cellStyles count="3">
    <cellStyle name="Currency" xfId="1" builtinId="4"/>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trlProps/ctrlProp1.xml><?xml version="1.0" encoding="utf-8"?>
<formControlPr xmlns="http://schemas.microsoft.com/office/spreadsheetml/2009/9/main" objectType="Button" lockText="1"/>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Button"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Button" lockText="1"/>
</file>

<file path=xl/ctrlProps/ctrlProp7.xml><?xml version="1.0" encoding="utf-8"?>
<formControlPr xmlns="http://schemas.microsoft.com/office/spreadsheetml/2009/9/main" objectType="Button" lockText="1"/>
</file>

<file path=xl/ctrlProps/ctrlProp8.xml><?xml version="1.0" encoding="utf-8"?>
<formControlPr xmlns="http://schemas.microsoft.com/office/spreadsheetml/2009/9/main" objectType="Button" lockText="1"/>
</file>

<file path=xl/ctrlProps/ctrlProp9.xml><?xml version="1.0" encoding="utf-8"?>
<formControlPr xmlns="http://schemas.microsoft.com/office/spreadsheetml/2009/9/main" objectType="Button" lockText="1"/>
</file>

<file path=xl/ctrlProps/ctrlProp10.xml><?xml version="1.0" encoding="utf-8"?>
<formControlPr xmlns="http://schemas.microsoft.com/office/spreadsheetml/2009/9/main" objectType="Button" lockText="1"/>
</file>

<file path=xl/ctrlProps/ctrlProp11.xml><?xml version="1.0" encoding="utf-8"?>
<formControlPr xmlns="http://schemas.microsoft.com/office/spreadsheetml/2009/9/main" objectType="Button" lockText="1"/>
</file>

<file path=xl/ctrlProps/ctrlProp12.xml><?xml version="1.0" encoding="utf-8"?>
<formControlPr xmlns="http://schemas.microsoft.com/office/spreadsheetml/2009/9/main" objectType="Button" lockText="1"/>
</file>

<file path=xl/ctrlProps/ctrlProp13.xml><?xml version="1.0" encoding="utf-8"?>
<formControlPr xmlns="http://schemas.microsoft.com/office/spreadsheetml/2009/9/main" objectType="Button" lockText="1"/>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ustomXml" Target="../ink/ink1.xml"/></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30480</xdr:colOff>
          <xdr:row>0</xdr:row>
          <xdr:rowOff>182880</xdr:rowOff>
        </xdr:from>
        <xdr:to>
          <xdr:col>1</xdr:col>
          <xdr:colOff>7620</xdr:colOff>
          <xdr:row>2</xdr:row>
          <xdr:rowOff>0</xdr:rowOff>
        </xdr:to>
        <xdr:sp macro="" textlink="">
          <xdr:nvSpPr>
            <xdr:cNvPr id="1047" name="Button 23" hidden="1">
              <a:extLst>
                <a:ext uri="{63B3BB69-23CF-44E3-9099-C40C66FF867C}">
                  <a14:compatExt spid="_x0000_s1047"/>
                </a:ext>
                <a:ext uri="{FF2B5EF4-FFF2-40B4-BE49-F238E27FC236}">
                  <a16:creationId xmlns:a16="http://schemas.microsoft.com/office/drawing/2014/main" id="{00000000-0008-0000-0000-000017040000}"/>
                </a:ext>
              </a:extLst>
            </xdr:cNvPr>
            <xdr:cNvSpPr/>
          </xdr:nvSpPr>
          <xdr:spPr bwMode="auto">
            <a:xfrm>
              <a:off x="0" y="0"/>
              <a:ext cx="0" cy="0"/>
            </a:xfrm>
            <a:prstGeom prst="rect">
              <a:avLst/>
            </a:prstGeom>
            <a:noFill/>
            <a:ln w="9525">
              <a:miter lim="800000"/>
              <a:headEnd/>
              <a:tailEnd/>
            </a:ln>
          </xdr:spPr>
          <xdr:txBody>
            <a:bodyPr vertOverflow="clip" wrap="square" lIns="36576" tIns="32004" rIns="36576" bIns="32004" anchor="ctr" upright="1"/>
            <a:lstStyle/>
            <a:p>
              <a:pPr algn="ctr" rtl="0">
                <a:defRPr sz="1000"/>
              </a:pPr>
              <a:r>
                <a:rPr lang="en-US" sz="1100" b="1" i="0" u="none" strike="noStrike" baseline="0">
                  <a:solidFill>
                    <a:srgbClr val="FF00FF"/>
                  </a:solidFill>
                  <a:latin typeface="Calibri"/>
                  <a:cs typeface="Calibri"/>
                </a:rPr>
                <a:t>Sort Winery</a:t>
              </a:r>
            </a:p>
            <a:p>
              <a:pPr algn="ctr" rtl="0">
                <a:defRPr sz="1000"/>
              </a:pPr>
              <a:endParaRPr lang="en-US" sz="1100" b="1" i="0" u="none" strike="noStrike" baseline="0">
                <a:solidFill>
                  <a:srgbClr val="FF00FF"/>
                </a:solidFill>
                <a:latin typeface="Calibri"/>
                <a:cs typeface="Calibri"/>
              </a:endParaRPr>
            </a:p>
            <a:p>
              <a:pPr algn="ctr" rtl="0">
                <a:defRPr sz="1000"/>
              </a:pPr>
              <a:endParaRPr lang="en-US" sz="1100" b="1" i="0" u="none" strike="noStrike" baseline="0">
                <a:solidFill>
                  <a:srgbClr val="FF00FF"/>
                </a:solidFill>
                <a:latin typeface="Calibri"/>
                <a:cs typeface="Calibri"/>
              </a:endParaRP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15240</xdr:colOff>
          <xdr:row>1</xdr:row>
          <xdr:rowOff>7620</xdr:rowOff>
        </xdr:from>
        <xdr:to>
          <xdr:col>4</xdr:col>
          <xdr:colOff>7620</xdr:colOff>
          <xdr:row>2</xdr:row>
          <xdr:rowOff>53340</xdr:rowOff>
        </xdr:to>
        <xdr:sp macro="" textlink="">
          <xdr:nvSpPr>
            <xdr:cNvPr id="1049" name="Button 25" hidden="1">
              <a:extLst>
                <a:ext uri="{63B3BB69-23CF-44E3-9099-C40C66FF867C}">
                  <a14:compatExt spid="_x0000_s1049"/>
                </a:ext>
                <a:ext uri="{FF2B5EF4-FFF2-40B4-BE49-F238E27FC236}">
                  <a16:creationId xmlns:a16="http://schemas.microsoft.com/office/drawing/2014/main" id="{00000000-0008-0000-0000-000019040000}"/>
                </a:ext>
              </a:extLst>
            </xdr:cNvPr>
            <xdr:cNvSpPr/>
          </xdr:nvSpPr>
          <xdr:spPr bwMode="auto">
            <a:xfrm>
              <a:off x="0" y="0"/>
              <a:ext cx="0" cy="0"/>
            </a:xfrm>
            <a:prstGeom prst="rect">
              <a:avLst/>
            </a:prstGeom>
            <a:noFill/>
            <a:ln w="9525">
              <a:miter lim="800000"/>
              <a:headEnd/>
              <a:tailEnd/>
            </a:ln>
          </xdr:spPr>
          <xdr:txBody>
            <a:bodyPr vertOverflow="clip" wrap="square" lIns="36576" tIns="32004" rIns="36576" bIns="32004" anchor="ctr" upright="1"/>
            <a:lstStyle/>
            <a:p>
              <a:pPr algn="ctr" rtl="0">
                <a:defRPr sz="1000"/>
              </a:pPr>
              <a:r>
                <a:rPr lang="en-US" sz="1100" b="1" i="0" u="none" strike="noStrike" baseline="0">
                  <a:solidFill>
                    <a:srgbClr val="0000FF"/>
                  </a:solidFill>
                  <a:latin typeface="Calibri"/>
                  <a:cs typeface="Calibri"/>
                </a:rPr>
                <a:t>Vintage</a:t>
              </a:r>
            </a:p>
            <a:p>
              <a:pPr algn="ctr" rtl="0">
                <a:defRPr sz="1000"/>
              </a:pPr>
              <a:endParaRPr lang="en-US" sz="1100" b="1" i="0" u="none" strike="noStrike" baseline="0">
                <a:solidFill>
                  <a:srgbClr val="0000FF"/>
                </a:solidFill>
                <a:latin typeface="Calibri"/>
                <a:cs typeface="Calibri"/>
              </a:endParaRP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15240</xdr:colOff>
          <xdr:row>0</xdr:row>
          <xdr:rowOff>30480</xdr:rowOff>
        </xdr:from>
        <xdr:to>
          <xdr:col>5</xdr:col>
          <xdr:colOff>7620</xdr:colOff>
          <xdr:row>0</xdr:row>
          <xdr:rowOff>327660</xdr:rowOff>
        </xdr:to>
        <xdr:sp macro="" textlink="">
          <xdr:nvSpPr>
            <xdr:cNvPr id="1058" name="Button 34" hidden="1">
              <a:extLst>
                <a:ext uri="{63B3BB69-23CF-44E3-9099-C40C66FF867C}">
                  <a14:compatExt spid="_x0000_s1058"/>
                </a:ext>
                <a:ext uri="{FF2B5EF4-FFF2-40B4-BE49-F238E27FC236}">
                  <a16:creationId xmlns:a16="http://schemas.microsoft.com/office/drawing/2014/main" id="{00000000-0008-0000-0000-000022040000}"/>
                </a:ext>
              </a:extLst>
            </xdr:cNvPr>
            <xdr:cNvSpPr/>
          </xdr:nvSpPr>
          <xdr:spPr bwMode="auto">
            <a:xfrm>
              <a:off x="0" y="0"/>
              <a:ext cx="0" cy="0"/>
            </a:xfrm>
            <a:prstGeom prst="rect">
              <a:avLst/>
            </a:prstGeom>
            <a:noFill/>
            <a:ln w="9525">
              <a:miter lim="800000"/>
              <a:headEnd/>
              <a:tailEnd/>
            </a:ln>
          </xdr:spPr>
          <xdr:txBody>
            <a:bodyPr vertOverflow="clip" wrap="square" lIns="36576" tIns="32004" rIns="36576" bIns="32004" anchor="ctr" upright="1"/>
            <a:lstStyle/>
            <a:p>
              <a:pPr algn="ctr" rtl="0">
                <a:defRPr sz="1000"/>
              </a:pPr>
              <a:r>
                <a:rPr lang="en-US" sz="1200" b="1" i="0" u="none" strike="noStrike" baseline="0">
                  <a:solidFill>
                    <a:srgbClr val="FF0000"/>
                  </a:solidFill>
                  <a:latin typeface="Calibri"/>
                  <a:cs typeface="Calibri"/>
                </a:rPr>
                <a:t>Max Qty</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15240</xdr:colOff>
          <xdr:row>1</xdr:row>
          <xdr:rowOff>15240</xdr:rowOff>
        </xdr:from>
        <xdr:to>
          <xdr:col>5</xdr:col>
          <xdr:colOff>0</xdr:colOff>
          <xdr:row>2</xdr:row>
          <xdr:rowOff>15240</xdr:rowOff>
        </xdr:to>
        <xdr:sp macro="" textlink="">
          <xdr:nvSpPr>
            <xdr:cNvPr id="1059" name="Button 35" hidden="1">
              <a:extLst>
                <a:ext uri="{63B3BB69-23CF-44E3-9099-C40C66FF867C}">
                  <a14:compatExt spid="_x0000_s1059"/>
                </a:ext>
                <a:ext uri="{FF2B5EF4-FFF2-40B4-BE49-F238E27FC236}">
                  <a16:creationId xmlns:a16="http://schemas.microsoft.com/office/drawing/2014/main" id="{00000000-0008-0000-0000-000023040000}"/>
                </a:ext>
              </a:extLst>
            </xdr:cNvPr>
            <xdr:cNvSpPr/>
          </xdr:nvSpPr>
          <xdr:spPr bwMode="auto">
            <a:xfrm>
              <a:off x="0" y="0"/>
              <a:ext cx="0" cy="0"/>
            </a:xfrm>
            <a:prstGeom prst="rect">
              <a:avLst/>
            </a:prstGeom>
            <a:noFill/>
            <a:ln w="9525">
              <a:miter lim="800000"/>
              <a:headEnd/>
              <a:tailEnd/>
            </a:ln>
          </xdr:spPr>
          <xdr:txBody>
            <a:bodyPr vertOverflow="clip" wrap="square" lIns="36576" tIns="32004" rIns="36576" bIns="32004" anchor="ctr" upright="1"/>
            <a:lstStyle/>
            <a:p>
              <a:pPr algn="ctr" rtl="0">
                <a:defRPr sz="1000"/>
              </a:pPr>
              <a:r>
                <a:rPr lang="en-US" sz="1200" b="1" i="0" u="none" strike="noStrike" baseline="0">
                  <a:solidFill>
                    <a:srgbClr val="99CC00"/>
                  </a:solidFill>
                  <a:latin typeface="Calibri"/>
                  <a:cs typeface="Calibri"/>
                </a:rPr>
                <a:t>Min Qty</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7620</xdr:colOff>
          <xdr:row>0</xdr:row>
          <xdr:rowOff>15240</xdr:rowOff>
        </xdr:from>
        <xdr:to>
          <xdr:col>6</xdr:col>
          <xdr:colOff>22860</xdr:colOff>
          <xdr:row>0</xdr:row>
          <xdr:rowOff>327660</xdr:rowOff>
        </xdr:to>
        <xdr:sp macro="" textlink="">
          <xdr:nvSpPr>
            <xdr:cNvPr id="1060" name="Button 36" hidden="1">
              <a:extLst>
                <a:ext uri="{63B3BB69-23CF-44E3-9099-C40C66FF867C}">
                  <a14:compatExt spid="_x0000_s1060"/>
                </a:ext>
                <a:ext uri="{FF2B5EF4-FFF2-40B4-BE49-F238E27FC236}">
                  <a16:creationId xmlns:a16="http://schemas.microsoft.com/office/drawing/2014/main" id="{00000000-0008-0000-0000-000024040000}"/>
                </a:ext>
              </a:extLst>
            </xdr:cNvPr>
            <xdr:cNvSpPr/>
          </xdr:nvSpPr>
          <xdr:spPr bwMode="auto">
            <a:xfrm>
              <a:off x="0" y="0"/>
              <a:ext cx="0" cy="0"/>
            </a:xfrm>
            <a:prstGeom prst="rect">
              <a:avLst/>
            </a:prstGeom>
            <a:noFill/>
            <a:ln w="9525">
              <a:miter lim="800000"/>
              <a:headEnd/>
              <a:tailEnd/>
            </a:ln>
          </xdr:spPr>
          <xdr:txBody>
            <a:bodyPr vertOverflow="clip" wrap="square" lIns="36576" tIns="32004" rIns="36576" bIns="32004" anchor="ctr" upright="1"/>
            <a:lstStyle/>
            <a:p>
              <a:pPr algn="ctr" rtl="0">
                <a:defRPr sz="1000"/>
              </a:pPr>
              <a:r>
                <a:rPr lang="en-US" sz="1000" b="1" i="0" u="none" strike="noStrike" baseline="0">
                  <a:solidFill>
                    <a:srgbClr val="00CCFF"/>
                  </a:solidFill>
                  <a:latin typeface="Calibri"/>
                  <a:cs typeface="Calibri"/>
                </a:rPr>
                <a:t>MaxPoints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670560</xdr:colOff>
          <xdr:row>0</xdr:row>
          <xdr:rowOff>335280</xdr:rowOff>
        </xdr:from>
        <xdr:to>
          <xdr:col>6</xdr:col>
          <xdr:colOff>15240</xdr:colOff>
          <xdr:row>2</xdr:row>
          <xdr:rowOff>30480</xdr:rowOff>
        </xdr:to>
        <xdr:sp macro="" textlink="">
          <xdr:nvSpPr>
            <xdr:cNvPr id="1061" name="Button 37" hidden="1">
              <a:extLst>
                <a:ext uri="{63B3BB69-23CF-44E3-9099-C40C66FF867C}">
                  <a14:compatExt spid="_x0000_s1061"/>
                </a:ext>
                <a:ext uri="{FF2B5EF4-FFF2-40B4-BE49-F238E27FC236}">
                  <a16:creationId xmlns:a16="http://schemas.microsoft.com/office/drawing/2014/main" id="{00000000-0008-0000-0000-000025040000}"/>
                </a:ext>
              </a:extLst>
            </xdr:cNvPr>
            <xdr:cNvSpPr/>
          </xdr:nvSpPr>
          <xdr:spPr bwMode="auto">
            <a:xfrm>
              <a:off x="0" y="0"/>
              <a:ext cx="0" cy="0"/>
            </a:xfrm>
            <a:prstGeom prst="rect">
              <a:avLst/>
            </a:prstGeom>
            <a:noFill/>
            <a:ln w="9525">
              <a:miter lim="800000"/>
              <a:headEnd/>
              <a:tailEnd/>
            </a:ln>
          </xdr:spPr>
          <xdr:txBody>
            <a:bodyPr vertOverflow="clip" wrap="square" lIns="36576" tIns="32004" rIns="36576" bIns="32004" anchor="ctr" upright="1"/>
            <a:lstStyle/>
            <a:p>
              <a:pPr algn="ctr" rtl="0">
                <a:defRPr sz="1000"/>
              </a:pPr>
              <a:r>
                <a:rPr lang="en-US" sz="1000" b="1" i="0" u="none" strike="noStrike" baseline="0">
                  <a:solidFill>
                    <a:srgbClr val="CC99FF"/>
                  </a:solidFill>
                  <a:latin typeface="Calibri"/>
                  <a:cs typeface="Calibri"/>
                </a:rPr>
                <a:t>Min Points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22860</xdr:colOff>
          <xdr:row>0</xdr:row>
          <xdr:rowOff>22860</xdr:rowOff>
        </xdr:from>
        <xdr:to>
          <xdr:col>7</xdr:col>
          <xdr:colOff>7620</xdr:colOff>
          <xdr:row>1</xdr:row>
          <xdr:rowOff>213360</xdr:rowOff>
        </xdr:to>
        <xdr:sp macro="" textlink="">
          <xdr:nvSpPr>
            <xdr:cNvPr id="1067" name="Button 43" hidden="1">
              <a:extLst>
                <a:ext uri="{63B3BB69-23CF-44E3-9099-C40C66FF867C}">
                  <a14:compatExt spid="_x0000_s1067"/>
                </a:ext>
                <a:ext uri="{FF2B5EF4-FFF2-40B4-BE49-F238E27FC236}">
                  <a16:creationId xmlns:a16="http://schemas.microsoft.com/office/drawing/2014/main" id="{00000000-0008-0000-0000-00002B040000}"/>
                </a:ext>
              </a:extLst>
            </xdr:cNvPr>
            <xdr:cNvSpPr/>
          </xdr:nvSpPr>
          <xdr:spPr bwMode="auto">
            <a:xfrm>
              <a:off x="0" y="0"/>
              <a:ext cx="0" cy="0"/>
            </a:xfrm>
            <a:prstGeom prst="rect">
              <a:avLst/>
            </a:prstGeom>
            <a:noFill/>
            <a:ln w="9525">
              <a:miter lim="800000"/>
              <a:headEnd/>
              <a:tailEnd/>
            </a:ln>
          </xdr:spPr>
          <xdr:txBody>
            <a:bodyPr vertOverflow="clip" wrap="square" lIns="36576" tIns="32004" rIns="36576" bIns="32004" anchor="ctr" upright="1"/>
            <a:lstStyle/>
            <a:p>
              <a:pPr algn="ctr" rtl="0">
                <a:defRPr sz="1000"/>
              </a:pPr>
              <a:r>
                <a:rPr lang="en-US" sz="1100" b="1" i="0" u="none" strike="noStrike" baseline="0">
                  <a:solidFill>
                    <a:srgbClr val="FF99CC"/>
                  </a:solidFill>
                  <a:latin typeface="Calibri"/>
                  <a:cs typeface="Calibri"/>
                </a:rPr>
                <a:t>Drink Open</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7</xdr:col>
          <xdr:colOff>30480</xdr:colOff>
          <xdr:row>0</xdr:row>
          <xdr:rowOff>22860</xdr:rowOff>
        </xdr:from>
        <xdr:to>
          <xdr:col>7</xdr:col>
          <xdr:colOff>693420</xdr:colOff>
          <xdr:row>1</xdr:row>
          <xdr:rowOff>213360</xdr:rowOff>
        </xdr:to>
        <xdr:sp macro="" textlink="">
          <xdr:nvSpPr>
            <xdr:cNvPr id="1068" name="Button 44" hidden="1">
              <a:extLst>
                <a:ext uri="{63B3BB69-23CF-44E3-9099-C40C66FF867C}">
                  <a14:compatExt spid="_x0000_s1068"/>
                </a:ext>
                <a:ext uri="{FF2B5EF4-FFF2-40B4-BE49-F238E27FC236}">
                  <a16:creationId xmlns:a16="http://schemas.microsoft.com/office/drawing/2014/main" id="{00000000-0008-0000-0000-00002C040000}"/>
                </a:ext>
              </a:extLst>
            </xdr:cNvPr>
            <xdr:cNvSpPr/>
          </xdr:nvSpPr>
          <xdr:spPr bwMode="auto">
            <a:xfrm>
              <a:off x="0" y="0"/>
              <a:ext cx="0" cy="0"/>
            </a:xfrm>
            <a:prstGeom prst="rect">
              <a:avLst/>
            </a:prstGeom>
            <a:noFill/>
            <a:ln w="9525">
              <a:miter lim="800000"/>
              <a:headEnd/>
              <a:tailEnd/>
            </a:ln>
          </xdr:spPr>
          <xdr:txBody>
            <a:bodyPr vertOverflow="clip" wrap="square" lIns="36576" tIns="32004" rIns="36576" bIns="32004" anchor="ctr" upright="1"/>
            <a:lstStyle/>
            <a:p>
              <a:pPr algn="ctr" rtl="0">
                <a:defRPr sz="1000"/>
              </a:pPr>
              <a:r>
                <a:rPr lang="en-US" sz="1100" b="1" i="0" u="none" strike="noStrike" baseline="0">
                  <a:solidFill>
                    <a:srgbClr val="008000"/>
                  </a:solidFill>
                  <a:latin typeface="Calibri"/>
                  <a:cs typeface="Calibri"/>
                </a:rPr>
                <a:t>Drink Close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8</xdr:col>
          <xdr:colOff>15240</xdr:colOff>
          <xdr:row>0</xdr:row>
          <xdr:rowOff>15240</xdr:rowOff>
        </xdr:from>
        <xdr:to>
          <xdr:col>9</xdr:col>
          <xdr:colOff>22860</xdr:colOff>
          <xdr:row>1</xdr:row>
          <xdr:rowOff>213360</xdr:rowOff>
        </xdr:to>
        <xdr:sp macro="" textlink="">
          <xdr:nvSpPr>
            <xdr:cNvPr id="1072" name="Button 48" hidden="1">
              <a:extLst>
                <a:ext uri="{63B3BB69-23CF-44E3-9099-C40C66FF867C}">
                  <a14:compatExt spid="_x0000_s1072"/>
                </a:ext>
                <a:ext uri="{FF2B5EF4-FFF2-40B4-BE49-F238E27FC236}">
                  <a16:creationId xmlns:a16="http://schemas.microsoft.com/office/drawing/2014/main" id="{00000000-0008-0000-0000-000030040000}"/>
                </a:ext>
              </a:extLst>
            </xdr:cNvPr>
            <xdr:cNvSpPr/>
          </xdr:nvSpPr>
          <xdr:spPr bwMode="auto">
            <a:xfrm>
              <a:off x="0" y="0"/>
              <a:ext cx="0" cy="0"/>
            </a:xfrm>
            <a:prstGeom prst="rect">
              <a:avLst/>
            </a:prstGeom>
            <a:noFill/>
            <a:ln w="9525">
              <a:miter lim="800000"/>
              <a:headEnd/>
              <a:tailEnd/>
            </a:ln>
          </xdr:spPr>
          <xdr:txBody>
            <a:bodyPr vertOverflow="clip" wrap="square" lIns="36576" tIns="32004" rIns="36576" bIns="32004" anchor="ctr" upright="1"/>
            <a:lstStyle/>
            <a:p>
              <a:pPr algn="ctr" rtl="0">
                <a:defRPr sz="1000"/>
              </a:pPr>
              <a:r>
                <a:rPr lang="en-US" sz="1200" b="1" i="0" u="none" strike="noStrike" baseline="0">
                  <a:solidFill>
                    <a:srgbClr val="FF9900"/>
                  </a:solidFill>
                  <a:latin typeface="Calibri"/>
                  <a:cs typeface="Calibri"/>
                </a:rPr>
                <a:t>Region</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9</xdr:col>
          <xdr:colOff>2842260</xdr:colOff>
          <xdr:row>1</xdr:row>
          <xdr:rowOff>0</xdr:rowOff>
        </xdr:from>
        <xdr:to>
          <xdr:col>9</xdr:col>
          <xdr:colOff>3543300</xdr:colOff>
          <xdr:row>2</xdr:row>
          <xdr:rowOff>22860</xdr:rowOff>
        </xdr:to>
        <xdr:sp macro="" textlink="">
          <xdr:nvSpPr>
            <xdr:cNvPr id="1073" name="Button 49" hidden="1">
              <a:extLst>
                <a:ext uri="{63B3BB69-23CF-44E3-9099-C40C66FF867C}">
                  <a14:compatExt spid="_x0000_s1073"/>
                </a:ext>
                <a:ext uri="{FF2B5EF4-FFF2-40B4-BE49-F238E27FC236}">
                  <a16:creationId xmlns:a16="http://schemas.microsoft.com/office/drawing/2014/main" id="{00000000-0008-0000-0000-000031040000}"/>
                </a:ext>
              </a:extLst>
            </xdr:cNvPr>
            <xdr:cNvSpPr/>
          </xdr:nvSpPr>
          <xdr:spPr bwMode="auto">
            <a:xfrm>
              <a:off x="0" y="0"/>
              <a:ext cx="0" cy="0"/>
            </a:xfrm>
            <a:prstGeom prst="rect">
              <a:avLst/>
            </a:prstGeom>
            <a:noFill/>
            <a:ln w="9525">
              <a:miter lim="800000"/>
              <a:headEnd/>
              <a:tailEnd/>
            </a:ln>
          </xdr:spPr>
          <xdr:txBody>
            <a:bodyPr vertOverflow="clip" wrap="square" lIns="36576" tIns="32004" rIns="36576" bIns="32004" anchor="ctr" upright="1"/>
            <a:lstStyle/>
            <a:p>
              <a:pPr algn="ctr" rtl="0">
                <a:defRPr sz="1000"/>
              </a:pPr>
              <a:r>
                <a:rPr lang="en-US" sz="1100" b="1" i="0" u="none" strike="noStrike" baseline="0">
                  <a:solidFill>
                    <a:srgbClr val="000000"/>
                  </a:solidFill>
                  <a:latin typeface="Calibri"/>
                  <a:cs typeface="Calibri"/>
                </a:rPr>
                <a:t>Cost</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11</xdr:col>
          <xdr:colOff>609600</xdr:colOff>
          <xdr:row>1</xdr:row>
          <xdr:rowOff>22860</xdr:rowOff>
        </xdr:from>
        <xdr:to>
          <xdr:col>13</xdr:col>
          <xdr:colOff>38100</xdr:colOff>
          <xdr:row>2</xdr:row>
          <xdr:rowOff>15240</xdr:rowOff>
        </xdr:to>
        <xdr:sp macro="" textlink="">
          <xdr:nvSpPr>
            <xdr:cNvPr id="1074" name="Button 50" hidden="1">
              <a:extLst>
                <a:ext uri="{63B3BB69-23CF-44E3-9099-C40C66FF867C}">
                  <a14:compatExt spid="_x0000_s1074"/>
                </a:ext>
                <a:ext uri="{FF2B5EF4-FFF2-40B4-BE49-F238E27FC236}">
                  <a16:creationId xmlns:a16="http://schemas.microsoft.com/office/drawing/2014/main" id="{00000000-0008-0000-0000-000032040000}"/>
                </a:ext>
              </a:extLst>
            </xdr:cNvPr>
            <xdr:cNvSpPr/>
          </xdr:nvSpPr>
          <xdr:spPr bwMode="auto">
            <a:xfrm>
              <a:off x="0" y="0"/>
              <a:ext cx="0" cy="0"/>
            </a:xfrm>
            <a:prstGeom prst="rect">
              <a:avLst/>
            </a:prstGeom>
            <a:noFill/>
            <a:ln w="9525">
              <a:miter lim="800000"/>
              <a:headEnd/>
              <a:tailEnd/>
            </a:ln>
          </xdr:spPr>
          <xdr:txBody>
            <a:bodyPr vertOverflow="clip" wrap="square" lIns="36576" tIns="32004" rIns="36576" bIns="32004" anchor="ctr" upright="1"/>
            <a:lstStyle/>
            <a:p>
              <a:pPr algn="ctr" rtl="0">
                <a:defRPr sz="1000"/>
              </a:pPr>
              <a:r>
                <a:rPr lang="en-US" sz="1100" b="1" i="0" u="none" strike="noStrike" baseline="0">
                  <a:solidFill>
                    <a:srgbClr val="000000"/>
                  </a:solidFill>
                  <a:latin typeface="Calibri"/>
                  <a:cs typeface="Calibri"/>
                </a:rPr>
                <a:t>Mkt Val</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15240</xdr:colOff>
          <xdr:row>1</xdr:row>
          <xdr:rowOff>22860</xdr:rowOff>
        </xdr:from>
        <xdr:to>
          <xdr:col>1</xdr:col>
          <xdr:colOff>609600</xdr:colOff>
          <xdr:row>1</xdr:row>
          <xdr:rowOff>251460</xdr:rowOff>
        </xdr:to>
        <xdr:sp macro="" textlink="">
          <xdr:nvSpPr>
            <xdr:cNvPr id="1076" name="Button 52" hidden="1">
              <a:extLst>
                <a:ext uri="{63B3BB69-23CF-44E3-9099-C40C66FF867C}">
                  <a14:compatExt spid="_x0000_s1076"/>
                </a:ext>
                <a:ext uri="{FF2B5EF4-FFF2-40B4-BE49-F238E27FC236}">
                  <a16:creationId xmlns:a16="http://schemas.microsoft.com/office/drawing/2014/main" id="{00000000-0008-0000-0000-000034040000}"/>
                </a:ext>
              </a:extLst>
            </xdr:cNvPr>
            <xdr:cNvSpPr/>
          </xdr:nvSpPr>
          <xdr:spPr bwMode="auto">
            <a:xfrm>
              <a:off x="0" y="0"/>
              <a:ext cx="0" cy="0"/>
            </a:xfrm>
            <a:prstGeom prst="rect">
              <a:avLst/>
            </a:prstGeom>
            <a:noFill/>
            <a:ln w="9525">
              <a:miter lim="800000"/>
              <a:headEnd/>
              <a:tailEnd/>
            </a:ln>
          </xdr:spPr>
          <xdr:txBody>
            <a:bodyPr vertOverflow="clip" wrap="square" lIns="36576" tIns="32004" rIns="36576" bIns="32004" anchor="ctr" upright="1"/>
            <a:lstStyle/>
            <a:p>
              <a:pPr algn="ctr" rtl="0">
                <a:defRPr sz="1000"/>
              </a:pPr>
              <a:r>
                <a:rPr lang="en-US" sz="1100" b="1" i="0" u="none" strike="noStrike" baseline="0">
                  <a:solidFill>
                    <a:srgbClr val="FF6600"/>
                  </a:solidFill>
                  <a:latin typeface="Calibri"/>
                  <a:cs typeface="Calibri"/>
                </a:rPr>
                <a:t>Label</a:t>
              </a:r>
            </a:p>
            <a:p>
              <a:pPr algn="ctr" rtl="0">
                <a:defRPr sz="1000"/>
              </a:pPr>
              <a:endParaRPr lang="en-US" sz="1100" b="1" i="0" u="none" strike="noStrike" baseline="0">
                <a:solidFill>
                  <a:srgbClr val="FF6600"/>
                </a:solidFill>
                <a:latin typeface="Calibri"/>
                <a:cs typeface="Calibri"/>
              </a:endParaRPr>
            </a:p>
            <a:p>
              <a:pPr algn="ctr" rtl="0">
                <a:defRPr sz="1000"/>
              </a:pPr>
              <a:r>
                <a:rPr lang="en-US" sz="1100" b="1" i="0" u="none" strike="noStrike" baseline="0">
                  <a:solidFill>
                    <a:srgbClr val="FF6600"/>
                  </a:solidFill>
                  <a:latin typeface="Calibri"/>
                  <a:cs typeface="Calibri"/>
                </a:rPr>
                <a:t>l</a:t>
              </a:r>
            </a:p>
          </xdr:txBody>
        </xdr:sp>
        <xdr:clientData fPrintsWithSheet="0"/>
      </xdr:twoCellAnchor>
    </mc:Choice>
    <mc:Fallback/>
  </mc:AlternateContent>
  <xdr:twoCellAnchor editAs="oneCell">
    <xdr:from>
      <xdr:col>12</xdr:col>
      <xdr:colOff>398752</xdr:colOff>
      <xdr:row>1</xdr:row>
      <xdr:rowOff>181012</xdr:rowOff>
    </xdr:from>
    <xdr:to>
      <xdr:col>12</xdr:col>
      <xdr:colOff>418192</xdr:colOff>
      <xdr:row>1</xdr:row>
      <xdr:rowOff>197277</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00000000-0008-0000-0000-000002000000}"/>
                </a:ext>
              </a:extLst>
            </xdr14:cNvPr>
            <xdr14:cNvContentPartPr/>
          </xdr14:nvContentPartPr>
          <xdr14:nvPr macro=""/>
          <xdr14:xfrm>
            <a:off x="13519440" y="538200"/>
            <a:ext cx="19440" cy="19440"/>
          </xdr14:xfrm>
        </xdr:contentPart>
      </mc:Choice>
      <mc:Fallback xmlns="">
        <xdr:pic>
          <xdr:nvPicPr>
            <xdr:cNvPr id="2" name="Ink 1">
              <a:extLst>
                <a:ext uri="{FF2B5EF4-FFF2-40B4-BE49-F238E27FC236}">
                  <a16:creationId xmlns:a16="http://schemas.microsoft.com/office/drawing/2014/main" id="{F636A362-2A2F-F05C-3006-54501FC6CAC5}"/>
                </a:ext>
              </a:extLst>
            </xdr:cNvPr>
            <xdr:cNvPicPr/>
          </xdr:nvPicPr>
          <xdr:blipFill>
            <a:blip xmlns:r="http://schemas.openxmlformats.org/officeDocument/2006/relationships" r:embed="rId2"/>
            <a:stretch>
              <a:fillRect/>
            </a:stretch>
          </xdr:blipFill>
          <xdr:spPr>
            <a:xfrm>
              <a:off x="13510800" y="529200"/>
              <a:ext cx="37080" cy="37080"/>
            </a:xfrm>
            <a:prstGeom prst="rect">
              <a:avLst/>
            </a:prstGeom>
          </xdr:spPr>
        </xdr:pic>
      </mc:Fallback>
    </mc:AlternateContent>
    <xdr:clientData/>
  </xdr:twoCellAnchor>
  <mc:AlternateContent xmlns:mc="http://schemas.openxmlformats.org/markup-compatibility/2006">
    <mc:Choice xmlns:a14="http://schemas.microsoft.com/office/drawing/2010/main" Requires="a14">
      <xdr:twoCellAnchor editAs="oneCell">
        <xdr:from>
          <xdr:col>13</xdr:col>
          <xdr:colOff>99060</xdr:colOff>
          <xdr:row>0</xdr:row>
          <xdr:rowOff>335280</xdr:rowOff>
        </xdr:from>
        <xdr:to>
          <xdr:col>13</xdr:col>
          <xdr:colOff>670560</xdr:colOff>
          <xdr:row>2</xdr:row>
          <xdr:rowOff>0</xdr:rowOff>
        </xdr:to>
        <xdr:sp macro="" textlink="">
          <xdr:nvSpPr>
            <xdr:cNvPr id="1077" name="Button 53" hidden="1">
              <a:extLst>
                <a:ext uri="{63B3BB69-23CF-44E3-9099-C40C66FF867C}">
                  <a14:compatExt spid="_x0000_s1077"/>
                </a:ext>
                <a:ext uri="{FF2B5EF4-FFF2-40B4-BE49-F238E27FC236}">
                  <a16:creationId xmlns:a16="http://schemas.microsoft.com/office/drawing/2014/main" id="{00000000-0008-0000-0000-000035040000}"/>
                </a:ext>
              </a:extLst>
            </xdr:cNvPr>
            <xdr:cNvSpPr/>
          </xdr:nvSpPr>
          <xdr:spPr bwMode="auto">
            <a:xfrm>
              <a:off x="0" y="0"/>
              <a:ext cx="0" cy="0"/>
            </a:xfrm>
            <a:prstGeom prst="rect">
              <a:avLst/>
            </a:prstGeom>
            <a:noFill/>
            <a:ln w="9525">
              <a:miter lim="800000"/>
              <a:headEnd/>
              <a:tailEnd/>
            </a:ln>
          </xdr:spPr>
          <xdr:txBody>
            <a:bodyPr vertOverflow="clip" wrap="square" lIns="36576" tIns="32004" rIns="36576" bIns="32004" anchor="ctr" upright="1"/>
            <a:lstStyle/>
            <a:p>
              <a:pPr algn="ctr" rtl="0">
                <a:defRPr sz="1000"/>
              </a:pPr>
              <a:r>
                <a:rPr lang="en-US" sz="1100" b="1" i="0" u="none" strike="noStrike" baseline="0">
                  <a:solidFill>
                    <a:srgbClr val="9999FF"/>
                  </a:solidFill>
                  <a:latin typeface="Calibri"/>
                  <a:cs typeface="Calibri"/>
                </a:rPr>
                <a:t>TotVal</a:t>
              </a:r>
            </a:p>
            <a:p>
              <a:pPr algn="ctr" rtl="0">
                <a:defRPr sz="1000"/>
              </a:pPr>
              <a:endParaRPr lang="en-US" sz="1100" b="1" i="0" u="none" strike="noStrike" baseline="0">
                <a:solidFill>
                  <a:srgbClr val="9999FF"/>
                </a:solidFill>
                <a:latin typeface="Calibri"/>
                <a:cs typeface="Calibri"/>
              </a:endParaRPr>
            </a:p>
          </xdr:txBody>
        </xdr:sp>
        <xdr:clientData fPrintsWithSheet="0"/>
      </xdr:twoCellAnchor>
    </mc:Choice>
    <mc:Fallback/>
  </mc:AlternateContent>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3-01-23T08:19:32.800"/>
    </inkml:context>
    <inkml:brush xml:id="br0">
      <inkml:brushProperty name="width" value="0.05" units="cm"/>
      <inkml:brushProperty name="height" value="0.05" units="cm"/>
    </inkml:brush>
  </inkml:definitions>
  <inkml:trace contextRef="#ctx0" brushRef="#br0">54 53 5225 0 0,'-14'-3'856'0'0,"3"-3"-376"0"0,-1 0-192 0 0,3-1 233 0 0,5-2-449 0 0,2 2 16 0 0,1-1 0 0 0,1 4-96 0 0,1 1-16 0 0,2 3-56 0 0,5 0-112 0 0,-4 0-88 0 0,2 0-137 0 0,1 0 1 0 0,-2 0-592 0 0</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4.xml"/><Relationship Id="rId13" Type="http://schemas.openxmlformats.org/officeDocument/2006/relationships/ctrlProp" Target="../ctrlProps/ctrlProp9.xml"/><Relationship Id="rId3" Type="http://schemas.openxmlformats.org/officeDocument/2006/relationships/drawing" Target="../drawings/drawing1.xml"/><Relationship Id="rId7" Type="http://schemas.openxmlformats.org/officeDocument/2006/relationships/ctrlProp" Target="../ctrlProps/ctrlProp3.xml"/><Relationship Id="rId12" Type="http://schemas.openxmlformats.org/officeDocument/2006/relationships/ctrlProp" Target="../ctrlProps/ctrlProp8.xml"/><Relationship Id="rId17" Type="http://schemas.openxmlformats.org/officeDocument/2006/relationships/ctrlProp" Target="../ctrlProps/ctrlProp13.xml"/><Relationship Id="rId2" Type="http://schemas.openxmlformats.org/officeDocument/2006/relationships/printerSettings" Target="../printerSettings/printerSettings1.bin"/><Relationship Id="rId16" Type="http://schemas.openxmlformats.org/officeDocument/2006/relationships/ctrlProp" Target="../ctrlProps/ctrlProp12.xml"/><Relationship Id="rId1" Type="http://schemas.openxmlformats.org/officeDocument/2006/relationships/hyperlink" Target="https://youtu.be/ZHWtHj2Il1Q%20%20%20%20%20%20%20%20HH%20Very%20bright,%20youthful,%20deep%20purple/red%20colour,%20and%20a%20lovely%20bouquet%20of%20blackberry%20and%20cassis,%20oak%20making%20a%20subtle%20contribution,%20the%20palate%20intense%20and%20powerful,%20full-bodied%20but%20not%20big%20or%20anywhere%20near%20a%20blockbuster,%20the%20tannins%20abundant%20and%20supple,%20fine-grained%20and%20persistent%20for%20the%20entire%20palate.%20An%20utterly%20gorgeous%20wine,%20cabernet%20characteristics%20well%20in%20evidence,%20but%20already%20complex,%20profound%20and%20multi-layered.%20Wonderful%20flavour%20and%20precision.%20Prodigious%20length,%20seamless%20harmony%20and%20great%20potential%20-%20although%20it's%20a%20great%20drink%20now.%2016%20JUL%202020" TargetMode="External"/><Relationship Id="rId6" Type="http://schemas.openxmlformats.org/officeDocument/2006/relationships/ctrlProp" Target="../ctrlProps/ctrlProp2.xml"/><Relationship Id="rId11" Type="http://schemas.openxmlformats.org/officeDocument/2006/relationships/ctrlProp" Target="../ctrlProps/ctrlProp7.xml"/><Relationship Id="rId5" Type="http://schemas.openxmlformats.org/officeDocument/2006/relationships/ctrlProp" Target="../ctrlProps/ctrlProp1.xml"/><Relationship Id="rId15" Type="http://schemas.openxmlformats.org/officeDocument/2006/relationships/ctrlProp" Target="../ctrlProps/ctrlProp11.xml"/><Relationship Id="rId10" Type="http://schemas.openxmlformats.org/officeDocument/2006/relationships/ctrlProp" Target="../ctrlProps/ctrlProp6.xml"/><Relationship Id="rId4" Type="http://schemas.openxmlformats.org/officeDocument/2006/relationships/vmlDrawing" Target="../drawings/vmlDrawing1.vml"/><Relationship Id="rId9" Type="http://schemas.openxmlformats.org/officeDocument/2006/relationships/ctrlProp" Target="../ctrlProps/ctrlProp5.xml"/><Relationship Id="rId14" Type="http://schemas.openxmlformats.org/officeDocument/2006/relationships/ctrlProp" Target="../ctrlProps/ctrlProp10.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832A6A-BBAF-49B1-92C5-6C695FA26D54}">
  <sheetPr codeName="Sheet1"/>
  <dimension ref="A1:O101"/>
  <sheetViews>
    <sheetView tabSelected="1" zoomScale="110" zoomScaleNormal="110" workbookViewId="0">
      <pane ySplit="4" topLeftCell="A61" activePane="bottomLeft" state="frozen"/>
      <selection pane="bottomLeft" activeCell="I68" sqref="I68"/>
    </sheetView>
  </sheetViews>
  <sheetFormatPr defaultColWidth="8.77734375" defaultRowHeight="15.6"/>
  <cols>
    <col min="1" max="1" width="15.109375" customWidth="1"/>
    <col min="2" max="2" width="21.33203125" style="11" bestFit="1" customWidth="1"/>
    <col min="3" max="3" width="21.33203125" style="11" customWidth="1"/>
    <col min="4" max="4" width="9.5546875" style="3" customWidth="1"/>
    <col min="5" max="7" width="9.88671875" style="3" customWidth="1"/>
    <col min="8" max="8" width="10.77734375" style="3" customWidth="1"/>
    <col min="9" max="9" width="20.88671875" style="36" bestFit="1" customWidth="1"/>
    <col min="10" max="10" width="83.77734375" customWidth="1"/>
    <col min="11" max="13" width="9.109375"/>
    <col min="14" max="14" width="9.77734375" bestFit="1" customWidth="1"/>
    <col min="15" max="16384" width="8.77734375" style="4"/>
  </cols>
  <sheetData>
    <row r="1" spans="1:15" ht="28.05" customHeight="1">
      <c r="B1" s="3"/>
      <c r="C1" s="3"/>
    </row>
    <row r="2" spans="1:15" ht="20.25" customHeight="1"/>
    <row r="3" spans="1:15">
      <c r="E3" s="3">
        <f>SUM(E5:E100)</f>
        <v>439</v>
      </c>
      <c r="L3" s="15">
        <f>SUM(L6:L100)</f>
        <v>17449</v>
      </c>
      <c r="N3" s="15">
        <f>SUM(N6:N100)</f>
        <v>27935</v>
      </c>
    </row>
    <row r="4" spans="1:15" s="6" customFormat="1" ht="42.45" customHeight="1">
      <c r="A4" s="8" t="s">
        <v>148</v>
      </c>
      <c r="B4" s="13" t="s">
        <v>16</v>
      </c>
      <c r="C4" s="13" t="s">
        <v>153</v>
      </c>
      <c r="D4" s="8" t="s">
        <v>15</v>
      </c>
      <c r="E4" s="8" t="s">
        <v>26</v>
      </c>
      <c r="F4" s="8" t="s">
        <v>14</v>
      </c>
      <c r="G4" s="7" t="s">
        <v>149</v>
      </c>
      <c r="H4" s="7" t="s">
        <v>150</v>
      </c>
      <c r="I4" s="8" t="s">
        <v>27</v>
      </c>
      <c r="J4" s="9" t="s">
        <v>28</v>
      </c>
      <c r="K4" s="9" t="s">
        <v>17</v>
      </c>
      <c r="L4" s="10" t="s">
        <v>151</v>
      </c>
      <c r="M4" s="9" t="s">
        <v>18</v>
      </c>
      <c r="N4" s="9" t="s">
        <v>152</v>
      </c>
      <c r="O4" s="9"/>
    </row>
    <row r="5" spans="1:15">
      <c r="A5" s="23" t="s">
        <v>92</v>
      </c>
      <c r="B5" s="12" t="s">
        <v>93</v>
      </c>
      <c r="C5" s="12" t="s">
        <v>8</v>
      </c>
      <c r="D5" s="5">
        <v>2014</v>
      </c>
      <c r="E5" s="5">
        <v>1</v>
      </c>
      <c r="F5" s="5">
        <v>98</v>
      </c>
      <c r="G5" s="5"/>
      <c r="H5" s="5"/>
      <c r="I5" s="23" t="s">
        <v>82</v>
      </c>
      <c r="J5" s="14"/>
      <c r="K5" s="4">
        <v>125</v>
      </c>
      <c r="L5" s="14">
        <f t="shared" ref="L5:L36" si="0">IF(E5="","",E5*K5)</f>
        <v>125</v>
      </c>
      <c r="M5" s="4">
        <v>250</v>
      </c>
      <c r="N5" s="14">
        <f t="shared" ref="N5:N36" si="1">IF(M5="","",M5*E5)</f>
        <v>250</v>
      </c>
    </row>
    <row r="6" spans="1:15" ht="85.05" customHeight="1">
      <c r="A6" s="23" t="s">
        <v>92</v>
      </c>
      <c r="B6" s="12" t="s">
        <v>164</v>
      </c>
      <c r="C6" s="12" t="s">
        <v>165</v>
      </c>
      <c r="D6" s="5">
        <v>2016</v>
      </c>
      <c r="E6" s="5">
        <v>1</v>
      </c>
      <c r="F6" s="5"/>
      <c r="G6" s="5"/>
      <c r="H6" s="5"/>
      <c r="I6" s="23" t="s">
        <v>82</v>
      </c>
      <c r="J6" s="14"/>
      <c r="K6" s="4">
        <v>33</v>
      </c>
      <c r="L6" s="14">
        <f t="shared" si="0"/>
        <v>33</v>
      </c>
      <c r="M6" s="4">
        <v>80</v>
      </c>
      <c r="N6" s="14">
        <f t="shared" si="1"/>
        <v>80</v>
      </c>
      <c r="O6" s="34"/>
    </row>
    <row r="7" spans="1:15" s="23" customFormat="1" ht="99.45" customHeight="1">
      <c r="A7" s="23" t="s">
        <v>68</v>
      </c>
      <c r="B7" s="23" t="s">
        <v>7</v>
      </c>
      <c r="C7" s="23" t="s">
        <v>31</v>
      </c>
      <c r="D7" s="23">
        <v>2010</v>
      </c>
      <c r="E7" s="23">
        <v>1</v>
      </c>
      <c r="F7" s="23">
        <v>95</v>
      </c>
      <c r="G7" s="23">
        <v>2028</v>
      </c>
      <c r="H7" s="23">
        <v>2040</v>
      </c>
      <c r="I7" s="23" t="s">
        <v>84</v>
      </c>
      <c r="J7" s="44" t="s">
        <v>214</v>
      </c>
      <c r="K7" s="23">
        <v>35</v>
      </c>
      <c r="L7" s="24">
        <f t="shared" si="0"/>
        <v>35</v>
      </c>
      <c r="M7" s="23">
        <v>70</v>
      </c>
      <c r="N7" s="24">
        <f t="shared" si="1"/>
        <v>70</v>
      </c>
    </row>
    <row r="8" spans="1:15" s="23" customFormat="1" ht="81" customHeight="1">
      <c r="A8" s="23" t="s">
        <v>68</v>
      </c>
      <c r="B8" s="23" t="s">
        <v>7</v>
      </c>
      <c r="C8" s="23" t="s">
        <v>31</v>
      </c>
      <c r="D8" s="23">
        <v>2014</v>
      </c>
      <c r="E8" s="23">
        <v>2</v>
      </c>
      <c r="F8" s="23">
        <v>98</v>
      </c>
      <c r="G8" s="23">
        <v>2032</v>
      </c>
      <c r="H8" s="23">
        <v>2045</v>
      </c>
      <c r="I8" s="23" t="s">
        <v>84</v>
      </c>
      <c r="J8" s="37" t="s">
        <v>215</v>
      </c>
      <c r="K8" s="23">
        <v>50</v>
      </c>
      <c r="L8" s="24">
        <f t="shared" si="0"/>
        <v>100</v>
      </c>
      <c r="M8" s="23">
        <v>70</v>
      </c>
      <c r="N8" s="24">
        <f t="shared" si="1"/>
        <v>140</v>
      </c>
      <c r="O8" s="4"/>
    </row>
    <row r="9" spans="1:15" s="23" customFormat="1" ht="78" customHeight="1">
      <c r="A9" s="23" t="s">
        <v>68</v>
      </c>
      <c r="B9" s="23" t="s">
        <v>7</v>
      </c>
      <c r="C9" s="23" t="s">
        <v>31</v>
      </c>
      <c r="D9" s="23">
        <v>2016</v>
      </c>
      <c r="E9" s="23">
        <v>2</v>
      </c>
      <c r="F9" s="23">
        <v>98</v>
      </c>
      <c r="G9" s="23">
        <v>2030</v>
      </c>
      <c r="H9" s="23">
        <v>2045</v>
      </c>
      <c r="I9" s="23" t="s">
        <v>84</v>
      </c>
      <c r="J9" s="37" t="s">
        <v>216</v>
      </c>
      <c r="K9" s="23">
        <v>55</v>
      </c>
      <c r="L9" s="24">
        <f t="shared" si="0"/>
        <v>110</v>
      </c>
      <c r="M9" s="23">
        <v>75</v>
      </c>
      <c r="N9" s="24">
        <f t="shared" si="1"/>
        <v>150</v>
      </c>
    </row>
    <row r="10" spans="1:15" s="34" customFormat="1" ht="64.05" customHeight="1">
      <c r="A10" s="34" t="s">
        <v>21</v>
      </c>
      <c r="B10" s="34" t="s">
        <v>24</v>
      </c>
      <c r="C10" s="34" t="s">
        <v>24</v>
      </c>
      <c r="D10" s="34">
        <v>2012</v>
      </c>
      <c r="E10" s="34">
        <v>2</v>
      </c>
      <c r="F10" s="34">
        <v>95</v>
      </c>
      <c r="G10" s="34">
        <v>2023</v>
      </c>
      <c r="H10" s="34">
        <v>2040</v>
      </c>
      <c r="I10" s="34" t="s">
        <v>79</v>
      </c>
      <c r="J10" s="37"/>
      <c r="K10" s="34">
        <v>55</v>
      </c>
      <c r="L10" s="37">
        <f t="shared" si="0"/>
        <v>110</v>
      </c>
      <c r="M10" s="34">
        <v>75</v>
      </c>
      <c r="N10" s="37">
        <f t="shared" si="1"/>
        <v>150</v>
      </c>
      <c r="O10" s="4"/>
    </row>
    <row r="11" spans="1:15" s="34" customFormat="1" ht="64.05" customHeight="1">
      <c r="A11" s="34" t="s">
        <v>21</v>
      </c>
      <c r="B11" s="34" t="s">
        <v>24</v>
      </c>
      <c r="C11" s="34" t="s">
        <v>24</v>
      </c>
      <c r="D11" s="34">
        <v>2013</v>
      </c>
      <c r="E11" s="34">
        <v>3</v>
      </c>
      <c r="F11" s="34">
        <v>94</v>
      </c>
      <c r="G11" s="34">
        <v>2025</v>
      </c>
      <c r="H11" s="34">
        <v>2035</v>
      </c>
      <c r="I11" s="34" t="s">
        <v>79</v>
      </c>
      <c r="J11" s="37" t="s">
        <v>242</v>
      </c>
      <c r="K11" s="34">
        <v>40</v>
      </c>
      <c r="L11" s="37">
        <f t="shared" si="0"/>
        <v>120</v>
      </c>
      <c r="M11" s="34">
        <v>76</v>
      </c>
      <c r="N11" s="37">
        <f t="shared" si="1"/>
        <v>228</v>
      </c>
      <c r="O11" s="4"/>
    </row>
    <row r="12" spans="1:15" s="34" customFormat="1" ht="64.05" customHeight="1">
      <c r="A12" s="34" t="s">
        <v>21</v>
      </c>
      <c r="B12" s="34" t="s">
        <v>24</v>
      </c>
      <c r="C12" s="34" t="s">
        <v>24</v>
      </c>
      <c r="D12" s="34">
        <v>2015</v>
      </c>
      <c r="E12" s="34">
        <v>3</v>
      </c>
      <c r="I12" s="34" t="s">
        <v>79</v>
      </c>
      <c r="J12" s="37"/>
      <c r="K12" s="34">
        <v>50</v>
      </c>
      <c r="L12" s="37">
        <f t="shared" si="0"/>
        <v>150</v>
      </c>
      <c r="M12" s="34">
        <v>80</v>
      </c>
      <c r="N12" s="37">
        <f t="shared" si="1"/>
        <v>240</v>
      </c>
      <c r="O12" s="4"/>
    </row>
    <row r="13" spans="1:15" s="26" customFormat="1" ht="72.45" customHeight="1">
      <c r="A13" s="23" t="s">
        <v>21</v>
      </c>
      <c r="B13" s="27" t="s">
        <v>182</v>
      </c>
      <c r="C13" s="27"/>
      <c r="D13" s="23">
        <v>2016</v>
      </c>
      <c r="E13" s="23">
        <v>3</v>
      </c>
      <c r="F13" s="23">
        <v>97</v>
      </c>
      <c r="G13" s="23">
        <v>2025</v>
      </c>
      <c r="H13" s="23">
        <v>2040</v>
      </c>
      <c r="I13" s="23"/>
      <c r="J13" s="28" t="s">
        <v>194</v>
      </c>
      <c r="L13" s="21">
        <f t="shared" si="0"/>
        <v>0</v>
      </c>
      <c r="N13" s="21" t="str">
        <f t="shared" si="1"/>
        <v/>
      </c>
      <c r="O13" s="4"/>
    </row>
    <row r="14" spans="1:15" ht="37.5" customHeight="1">
      <c r="A14" s="23" t="s">
        <v>21</v>
      </c>
      <c r="B14" s="27" t="s">
        <v>183</v>
      </c>
      <c r="C14" s="27" t="s">
        <v>8</v>
      </c>
      <c r="D14" s="23">
        <v>2016</v>
      </c>
      <c r="E14" s="23">
        <v>3</v>
      </c>
      <c r="F14" s="23">
        <v>97</v>
      </c>
      <c r="G14" s="23">
        <v>2025</v>
      </c>
      <c r="H14" s="23">
        <v>2035</v>
      </c>
      <c r="I14" s="23"/>
      <c r="J14" s="28" t="s">
        <v>193</v>
      </c>
      <c r="K14" s="26"/>
      <c r="L14" s="21">
        <f t="shared" si="0"/>
        <v>0</v>
      </c>
      <c r="M14" s="26"/>
      <c r="N14" s="21" t="str">
        <f t="shared" si="1"/>
        <v/>
      </c>
    </row>
    <row r="15" spans="1:15" s="23" customFormat="1" ht="115.05" customHeight="1">
      <c r="A15" s="23" t="s">
        <v>3</v>
      </c>
      <c r="B15" s="23" t="s">
        <v>11</v>
      </c>
      <c r="C15" s="23" t="s">
        <v>47</v>
      </c>
      <c r="D15" s="23">
        <v>2010</v>
      </c>
      <c r="E15" s="23">
        <v>3</v>
      </c>
      <c r="F15" s="23">
        <v>95</v>
      </c>
      <c r="G15" s="23">
        <v>2023</v>
      </c>
      <c r="H15" s="23">
        <v>2040</v>
      </c>
      <c r="I15" s="23" t="s">
        <v>84</v>
      </c>
      <c r="J15" s="37" t="s">
        <v>217</v>
      </c>
      <c r="K15" s="23">
        <v>55</v>
      </c>
      <c r="L15" s="24">
        <f t="shared" si="0"/>
        <v>165</v>
      </c>
      <c r="M15" s="23">
        <v>90</v>
      </c>
      <c r="N15" s="24">
        <f t="shared" si="1"/>
        <v>270</v>
      </c>
      <c r="O15" s="4"/>
    </row>
    <row r="16" spans="1:15" s="23" customFormat="1" ht="294.45" customHeight="1">
      <c r="A16" s="23" t="s">
        <v>3</v>
      </c>
      <c r="B16" s="23" t="s">
        <v>11</v>
      </c>
      <c r="C16" s="23" t="s">
        <v>31</v>
      </c>
      <c r="D16" s="23">
        <v>2012</v>
      </c>
      <c r="E16" s="23">
        <v>3</v>
      </c>
      <c r="F16" s="23">
        <v>97</v>
      </c>
      <c r="G16" s="23">
        <v>2026</v>
      </c>
      <c r="H16" s="23">
        <v>2042</v>
      </c>
      <c r="I16" s="23" t="s">
        <v>84</v>
      </c>
      <c r="J16" s="25" t="s">
        <v>191</v>
      </c>
      <c r="K16" s="23">
        <v>60</v>
      </c>
      <c r="L16" s="24">
        <f t="shared" si="0"/>
        <v>180</v>
      </c>
      <c r="M16" s="23">
        <v>80</v>
      </c>
      <c r="N16" s="24">
        <f t="shared" si="1"/>
        <v>240</v>
      </c>
      <c r="O16" s="4"/>
    </row>
    <row r="17" spans="1:15" s="34" customFormat="1" ht="144" customHeight="1">
      <c r="A17" s="34" t="s">
        <v>3</v>
      </c>
      <c r="B17" s="34" t="s">
        <v>11</v>
      </c>
      <c r="D17" s="34">
        <v>2017</v>
      </c>
      <c r="E17" s="34">
        <v>3</v>
      </c>
      <c r="F17" s="34">
        <v>97</v>
      </c>
      <c r="G17" s="34">
        <v>2023</v>
      </c>
      <c r="H17" s="34">
        <v>2039</v>
      </c>
      <c r="I17" s="34" t="s">
        <v>84</v>
      </c>
      <c r="J17" s="43" t="s">
        <v>213</v>
      </c>
      <c r="K17" s="34">
        <v>70</v>
      </c>
      <c r="L17" s="37">
        <f t="shared" si="0"/>
        <v>210</v>
      </c>
      <c r="M17" s="34">
        <v>125</v>
      </c>
      <c r="N17" s="37">
        <f t="shared" si="1"/>
        <v>375</v>
      </c>
      <c r="O17" s="4"/>
    </row>
    <row r="18" spans="1:15" s="26" customFormat="1" ht="15.75" customHeight="1">
      <c r="A18" s="23" t="s">
        <v>3</v>
      </c>
      <c r="B18" s="27" t="s">
        <v>11</v>
      </c>
      <c r="C18" s="27"/>
      <c r="D18" s="23">
        <v>2018</v>
      </c>
      <c r="E18" s="23">
        <v>4</v>
      </c>
      <c r="F18" s="23">
        <v>97</v>
      </c>
      <c r="G18" s="23">
        <v>2030</v>
      </c>
      <c r="H18" s="23">
        <v>2045</v>
      </c>
      <c r="I18" s="23" t="s">
        <v>84</v>
      </c>
      <c r="J18" s="22" t="s">
        <v>192</v>
      </c>
      <c r="K18" s="26">
        <v>100</v>
      </c>
      <c r="L18" s="21">
        <f t="shared" si="0"/>
        <v>400</v>
      </c>
      <c r="M18" s="26">
        <v>150</v>
      </c>
      <c r="N18" s="21">
        <f t="shared" si="1"/>
        <v>600</v>
      </c>
      <c r="O18" s="23"/>
    </row>
    <row r="19" spans="1:15" s="23" customFormat="1" ht="202.95" customHeight="1">
      <c r="A19" s="23" t="s">
        <v>3</v>
      </c>
      <c r="B19" s="27" t="s">
        <v>11</v>
      </c>
      <c r="C19" s="27" t="s">
        <v>31</v>
      </c>
      <c r="D19" s="23">
        <v>2019</v>
      </c>
      <c r="E19" s="23">
        <v>4</v>
      </c>
      <c r="F19" s="23">
        <v>98</v>
      </c>
      <c r="G19" s="23">
        <v>2029</v>
      </c>
      <c r="H19" s="23">
        <v>2049</v>
      </c>
      <c r="I19" s="23" t="s">
        <v>84</v>
      </c>
      <c r="J19" s="28" t="s">
        <v>243</v>
      </c>
      <c r="K19" s="26">
        <v>80</v>
      </c>
      <c r="L19" s="21">
        <f t="shared" si="0"/>
        <v>320</v>
      </c>
      <c r="M19" s="26">
        <v>90</v>
      </c>
      <c r="N19" s="21">
        <f t="shared" si="1"/>
        <v>360</v>
      </c>
      <c r="O19" s="4"/>
    </row>
    <row r="20" spans="1:15" customFormat="1" ht="0" hidden="1" customHeight="1">
      <c r="A20" s="23" t="s">
        <v>146</v>
      </c>
      <c r="B20" s="12" t="s">
        <v>147</v>
      </c>
      <c r="C20" s="12"/>
      <c r="D20" s="5">
        <v>2014</v>
      </c>
      <c r="E20" s="5">
        <v>36</v>
      </c>
      <c r="F20" s="5">
        <v>98</v>
      </c>
      <c r="G20" s="5"/>
      <c r="H20" s="5">
        <v>2044</v>
      </c>
      <c r="I20" s="23" t="s">
        <v>82</v>
      </c>
      <c r="J20" s="14"/>
      <c r="K20" s="4">
        <v>29</v>
      </c>
      <c r="L20" s="14">
        <f t="shared" si="0"/>
        <v>1044</v>
      </c>
      <c r="M20" s="4">
        <v>65</v>
      </c>
      <c r="N20" s="14">
        <f t="shared" si="1"/>
        <v>2340</v>
      </c>
    </row>
    <row r="21" spans="1:15" ht="21.45" customHeight="1">
      <c r="A21" s="23" t="s">
        <v>64</v>
      </c>
      <c r="B21" s="12" t="s">
        <v>169</v>
      </c>
      <c r="C21" s="12" t="s">
        <v>33</v>
      </c>
      <c r="D21" s="5">
        <v>2020</v>
      </c>
      <c r="E21" s="5">
        <v>4</v>
      </c>
      <c r="F21" s="5"/>
      <c r="G21" s="5"/>
      <c r="H21" s="5"/>
      <c r="I21" s="23" t="s">
        <v>84</v>
      </c>
      <c r="J21" s="14"/>
      <c r="K21" s="4">
        <v>30</v>
      </c>
      <c r="L21" s="14">
        <f t="shared" si="0"/>
        <v>120</v>
      </c>
      <c r="M21" s="4">
        <v>50</v>
      </c>
      <c r="N21" s="14">
        <f t="shared" si="1"/>
        <v>200</v>
      </c>
    </row>
    <row r="22" spans="1:15" ht="21.45" customHeight="1">
      <c r="A22" s="23" t="s">
        <v>61</v>
      </c>
      <c r="B22" s="26" t="s">
        <v>63</v>
      </c>
      <c r="C22" s="26" t="s">
        <v>33</v>
      </c>
      <c r="D22" s="26">
        <v>2021</v>
      </c>
      <c r="E22" s="26">
        <v>6</v>
      </c>
      <c r="F22" s="26"/>
      <c r="G22" s="26"/>
      <c r="H22" s="26"/>
      <c r="I22" s="23" t="s">
        <v>84</v>
      </c>
      <c r="J22" s="14"/>
      <c r="K22" s="4"/>
      <c r="L22" s="14">
        <f t="shared" si="0"/>
        <v>0</v>
      </c>
      <c r="M22" s="4">
        <v>55</v>
      </c>
      <c r="N22" s="14">
        <f t="shared" si="1"/>
        <v>330</v>
      </c>
      <c r="O22" s="34"/>
    </row>
    <row r="23" spans="1:15" s="23" customFormat="1" ht="58.95" customHeight="1">
      <c r="A23" s="23" t="s">
        <v>20</v>
      </c>
      <c r="B23" s="23" t="s">
        <v>37</v>
      </c>
      <c r="C23" s="23" t="s">
        <v>8</v>
      </c>
      <c r="D23" s="23">
        <v>2018</v>
      </c>
      <c r="E23" s="23">
        <v>6</v>
      </c>
      <c r="F23" s="23">
        <v>96</v>
      </c>
      <c r="G23" s="23">
        <v>2025</v>
      </c>
      <c r="H23" s="23">
        <v>2035</v>
      </c>
      <c r="I23" s="23" t="s">
        <v>78</v>
      </c>
      <c r="J23" s="42" t="s">
        <v>212</v>
      </c>
      <c r="K23" s="23">
        <v>50</v>
      </c>
      <c r="L23" s="24">
        <f t="shared" si="0"/>
        <v>300</v>
      </c>
      <c r="M23" s="23">
        <v>60</v>
      </c>
      <c r="N23" s="24">
        <f t="shared" si="1"/>
        <v>360</v>
      </c>
      <c r="O23" s="4"/>
    </row>
    <row r="24" spans="1:15" s="23" customFormat="1" ht="21.45" customHeight="1">
      <c r="A24" s="23" t="s">
        <v>34</v>
      </c>
      <c r="B24" s="23" t="s">
        <v>39</v>
      </c>
      <c r="C24" s="23" t="s">
        <v>33</v>
      </c>
      <c r="D24" s="23">
        <v>2013</v>
      </c>
      <c r="E24" s="23">
        <v>4</v>
      </c>
      <c r="F24" s="23">
        <v>93</v>
      </c>
      <c r="G24" s="23">
        <v>2023</v>
      </c>
      <c r="H24" s="23">
        <v>2033</v>
      </c>
      <c r="I24" s="23" t="s">
        <v>159</v>
      </c>
      <c r="J24" s="24" t="s">
        <v>218</v>
      </c>
      <c r="K24" s="23">
        <v>50</v>
      </c>
      <c r="L24" s="24">
        <f t="shared" si="0"/>
        <v>200</v>
      </c>
      <c r="M24" s="23">
        <v>55</v>
      </c>
      <c r="N24" s="24">
        <f t="shared" si="1"/>
        <v>220</v>
      </c>
    </row>
    <row r="25" spans="1:15" s="23" customFormat="1" ht="75" customHeight="1">
      <c r="A25" s="23" t="s">
        <v>34</v>
      </c>
      <c r="B25" s="23" t="s">
        <v>39</v>
      </c>
      <c r="C25" s="23" t="s">
        <v>33</v>
      </c>
      <c r="D25" s="23">
        <v>2014</v>
      </c>
      <c r="E25" s="23">
        <v>5</v>
      </c>
      <c r="F25" s="23">
        <v>94</v>
      </c>
      <c r="G25" s="23">
        <v>2023</v>
      </c>
      <c r="H25" s="23">
        <v>2029</v>
      </c>
      <c r="I25" s="23" t="s">
        <v>159</v>
      </c>
      <c r="J25" s="37" t="s">
        <v>219</v>
      </c>
      <c r="K25" s="23">
        <v>55</v>
      </c>
      <c r="L25" s="24">
        <f t="shared" si="0"/>
        <v>275</v>
      </c>
      <c r="M25" s="23">
        <v>65</v>
      </c>
      <c r="N25" s="24">
        <f t="shared" si="1"/>
        <v>325</v>
      </c>
      <c r="O25" s="26"/>
    </row>
    <row r="26" spans="1:15" s="23" customFormat="1" ht="64.05" customHeight="1">
      <c r="A26" s="23" t="s">
        <v>34</v>
      </c>
      <c r="B26" s="23" t="s">
        <v>39</v>
      </c>
      <c r="C26" s="23" t="s">
        <v>33</v>
      </c>
      <c r="D26" s="23">
        <v>2015</v>
      </c>
      <c r="E26" s="23">
        <v>5</v>
      </c>
      <c r="F26" s="23">
        <v>98</v>
      </c>
      <c r="G26" s="23">
        <v>2024</v>
      </c>
      <c r="H26" s="23">
        <v>2033</v>
      </c>
      <c r="I26" s="23" t="s">
        <v>159</v>
      </c>
      <c r="J26" s="37" t="s">
        <v>220</v>
      </c>
      <c r="K26" s="23">
        <v>55</v>
      </c>
      <c r="L26" s="24">
        <f t="shared" si="0"/>
        <v>275</v>
      </c>
      <c r="M26" s="23">
        <v>100</v>
      </c>
      <c r="N26" s="24">
        <f t="shared" si="1"/>
        <v>500</v>
      </c>
      <c r="O26" s="4"/>
    </row>
    <row r="27" spans="1:15" s="23" customFormat="1" ht="21.45" customHeight="1">
      <c r="A27" s="23" t="s">
        <v>34</v>
      </c>
      <c r="B27" s="23" t="s">
        <v>39</v>
      </c>
      <c r="C27" s="23" t="s">
        <v>33</v>
      </c>
      <c r="D27" s="23">
        <v>2016</v>
      </c>
      <c r="E27" s="23">
        <v>5</v>
      </c>
      <c r="F27" s="23">
        <v>97</v>
      </c>
      <c r="G27" s="23">
        <v>2027</v>
      </c>
      <c r="H27" s="23">
        <v>2033</v>
      </c>
      <c r="I27" s="23" t="s">
        <v>159</v>
      </c>
      <c r="J27" s="24"/>
      <c r="K27" s="23">
        <v>55</v>
      </c>
      <c r="L27" s="24">
        <f t="shared" si="0"/>
        <v>275</v>
      </c>
      <c r="M27" s="23">
        <v>75</v>
      </c>
      <c r="N27" s="24">
        <f t="shared" si="1"/>
        <v>375</v>
      </c>
      <c r="O27" s="4"/>
    </row>
    <row r="28" spans="1:15" s="23" customFormat="1" ht="72" customHeight="1">
      <c r="A28" s="23" t="s">
        <v>34</v>
      </c>
      <c r="B28" s="23" t="s">
        <v>39</v>
      </c>
      <c r="C28" s="23" t="s">
        <v>33</v>
      </c>
      <c r="D28" s="23">
        <v>2017</v>
      </c>
      <c r="E28" s="23">
        <v>5</v>
      </c>
      <c r="F28" s="23">
        <v>96</v>
      </c>
      <c r="G28" s="23">
        <v>2029</v>
      </c>
      <c r="H28" s="23">
        <v>2036</v>
      </c>
      <c r="I28" s="23" t="s">
        <v>159</v>
      </c>
      <c r="J28" s="45" t="s">
        <v>221</v>
      </c>
      <c r="K28" s="23">
        <v>55</v>
      </c>
      <c r="L28" s="24">
        <f t="shared" si="0"/>
        <v>275</v>
      </c>
      <c r="M28" s="23">
        <v>75</v>
      </c>
      <c r="N28" s="24">
        <f t="shared" si="1"/>
        <v>375</v>
      </c>
      <c r="O28" s="4"/>
    </row>
    <row r="29" spans="1:15" s="23" customFormat="1" ht="40.049999999999997" customHeight="1">
      <c r="A29" s="23" t="s">
        <v>34</v>
      </c>
      <c r="B29" s="23" t="s">
        <v>39</v>
      </c>
      <c r="C29" s="23" t="s">
        <v>33</v>
      </c>
      <c r="D29" s="23">
        <v>2018</v>
      </c>
      <c r="E29" s="23">
        <v>5</v>
      </c>
      <c r="F29" s="23">
        <v>97</v>
      </c>
      <c r="G29" s="23">
        <v>2030</v>
      </c>
      <c r="H29" s="23">
        <v>2038</v>
      </c>
      <c r="I29" s="23" t="s">
        <v>159</v>
      </c>
      <c r="J29" s="46" t="s">
        <v>222</v>
      </c>
      <c r="K29" s="23">
        <v>58</v>
      </c>
      <c r="L29" s="24">
        <f t="shared" si="0"/>
        <v>290</v>
      </c>
      <c r="M29" s="23">
        <v>80</v>
      </c>
      <c r="N29" s="24">
        <f t="shared" si="1"/>
        <v>400</v>
      </c>
      <c r="O29" s="26"/>
    </row>
    <row r="30" spans="1:15" s="23" customFormat="1" ht="98.55" customHeight="1">
      <c r="A30" s="23" t="s">
        <v>34</v>
      </c>
      <c r="B30" s="23" t="s">
        <v>39</v>
      </c>
      <c r="C30" s="23" t="s">
        <v>33</v>
      </c>
      <c r="D30" s="23">
        <v>2021</v>
      </c>
      <c r="E30" s="23">
        <v>5</v>
      </c>
      <c r="F30" s="23">
        <v>97</v>
      </c>
      <c r="G30" s="23">
        <v>2032</v>
      </c>
      <c r="H30" s="23">
        <v>2042</v>
      </c>
      <c r="I30" s="23" t="s">
        <v>159</v>
      </c>
      <c r="J30" s="47" t="s">
        <v>223</v>
      </c>
      <c r="K30" s="23">
        <v>60</v>
      </c>
      <c r="L30" s="24">
        <f t="shared" si="0"/>
        <v>300</v>
      </c>
      <c r="M30" s="23">
        <v>105</v>
      </c>
      <c r="N30" s="24">
        <f t="shared" si="1"/>
        <v>525</v>
      </c>
      <c r="O30" s="4"/>
    </row>
    <row r="31" spans="1:15" s="34" customFormat="1" ht="77.55" customHeight="1">
      <c r="A31" s="34" t="s">
        <v>120</v>
      </c>
      <c r="B31" s="34" t="s">
        <v>123</v>
      </c>
      <c r="C31" s="34" t="s">
        <v>33</v>
      </c>
      <c r="D31" s="34">
        <v>2022</v>
      </c>
      <c r="E31" s="34">
        <v>5</v>
      </c>
      <c r="F31" s="34">
        <v>98</v>
      </c>
      <c r="G31" s="34">
        <v>2030</v>
      </c>
      <c r="H31" s="34">
        <v>2034</v>
      </c>
      <c r="I31" s="34" t="s">
        <v>163</v>
      </c>
      <c r="J31" s="42" t="s">
        <v>200</v>
      </c>
      <c r="K31" s="34">
        <v>35</v>
      </c>
      <c r="L31" s="37">
        <f t="shared" si="0"/>
        <v>175</v>
      </c>
      <c r="M31" s="34">
        <v>45</v>
      </c>
      <c r="N31" s="37">
        <f t="shared" si="1"/>
        <v>225</v>
      </c>
      <c r="O31" s="4"/>
    </row>
    <row r="32" spans="1:15" ht="34.5" customHeight="1">
      <c r="A32" s="23" t="s">
        <v>158</v>
      </c>
      <c r="B32" s="12" t="s">
        <v>156</v>
      </c>
      <c r="C32" s="12" t="s">
        <v>8</v>
      </c>
      <c r="D32" s="5">
        <v>2013</v>
      </c>
      <c r="E32" s="5">
        <v>5</v>
      </c>
      <c r="F32" s="5">
        <v>94</v>
      </c>
      <c r="G32" s="5"/>
      <c r="H32" s="5"/>
      <c r="I32" s="23" t="s">
        <v>83</v>
      </c>
      <c r="J32" s="48" t="s">
        <v>226</v>
      </c>
      <c r="K32" s="4">
        <v>33</v>
      </c>
      <c r="L32" s="14">
        <f t="shared" si="0"/>
        <v>165</v>
      </c>
      <c r="M32" s="4">
        <v>44</v>
      </c>
      <c r="N32" s="14">
        <f t="shared" si="1"/>
        <v>220</v>
      </c>
    </row>
    <row r="33" spans="1:15" ht="39" customHeight="1">
      <c r="A33" s="23" t="s">
        <v>158</v>
      </c>
      <c r="B33" s="12" t="s">
        <v>157</v>
      </c>
      <c r="C33" s="12" t="s">
        <v>8</v>
      </c>
      <c r="D33" s="5">
        <v>2017</v>
      </c>
      <c r="E33" s="5">
        <v>5</v>
      </c>
      <c r="F33" s="5">
        <v>95</v>
      </c>
      <c r="G33" s="5"/>
      <c r="H33" s="5"/>
      <c r="I33" s="23" t="s">
        <v>83</v>
      </c>
      <c r="J33" s="48" t="s">
        <v>225</v>
      </c>
      <c r="K33" s="4">
        <v>44</v>
      </c>
      <c r="L33" s="14">
        <f t="shared" si="0"/>
        <v>220</v>
      </c>
      <c r="M33" s="4">
        <v>55</v>
      </c>
      <c r="N33" s="14">
        <f t="shared" si="1"/>
        <v>275</v>
      </c>
    </row>
    <row r="34" spans="1:15" ht="21.45" customHeight="1">
      <c r="A34" s="23" t="s">
        <v>158</v>
      </c>
      <c r="B34" s="12" t="s">
        <v>156</v>
      </c>
      <c r="C34" s="12" t="s">
        <v>8</v>
      </c>
      <c r="D34" s="5">
        <v>2018</v>
      </c>
      <c r="E34" s="5">
        <v>5</v>
      </c>
      <c r="F34" s="5">
        <v>94</v>
      </c>
      <c r="G34" s="5"/>
      <c r="H34" s="5"/>
      <c r="I34" s="23" t="s">
        <v>83</v>
      </c>
      <c r="J34" s="31" t="s">
        <v>227</v>
      </c>
      <c r="K34" s="4">
        <v>44</v>
      </c>
      <c r="L34" s="14">
        <f t="shared" si="0"/>
        <v>220</v>
      </c>
      <c r="M34" s="4">
        <v>55</v>
      </c>
      <c r="N34" s="14">
        <f t="shared" si="1"/>
        <v>275</v>
      </c>
    </row>
    <row r="35" spans="1:15" ht="21.45" customHeight="1">
      <c r="A35" s="23" t="s">
        <v>158</v>
      </c>
      <c r="B35" s="23" t="s">
        <v>232</v>
      </c>
      <c r="C35" s="23" t="s">
        <v>8</v>
      </c>
      <c r="D35" s="23">
        <v>2021</v>
      </c>
      <c r="E35" s="23">
        <v>5</v>
      </c>
      <c r="F35" s="23">
        <v>95</v>
      </c>
      <c r="G35" s="23">
        <v>2025</v>
      </c>
      <c r="H35" s="23">
        <v>2038</v>
      </c>
      <c r="I35" s="23" t="s">
        <v>163</v>
      </c>
      <c r="J35" s="49" t="s">
        <v>234</v>
      </c>
      <c r="K35" s="4">
        <v>35</v>
      </c>
      <c r="L35" s="14">
        <f t="shared" si="0"/>
        <v>175</v>
      </c>
      <c r="M35" s="4">
        <v>75</v>
      </c>
      <c r="N35" s="14">
        <f t="shared" si="1"/>
        <v>375</v>
      </c>
    </row>
    <row r="36" spans="1:15" ht="21.45" customHeight="1">
      <c r="A36" s="23" t="s">
        <v>158</v>
      </c>
      <c r="B36" s="23" t="s">
        <v>156</v>
      </c>
      <c r="C36" s="23" t="s">
        <v>8</v>
      </c>
      <c r="D36" s="23">
        <v>2021</v>
      </c>
      <c r="E36" s="23">
        <v>5</v>
      </c>
      <c r="F36" s="23">
        <v>96</v>
      </c>
      <c r="G36" s="23">
        <v>2024</v>
      </c>
      <c r="H36" s="23">
        <v>2043</v>
      </c>
      <c r="I36" s="23" t="s">
        <v>83</v>
      </c>
      <c r="J36" s="30" t="s">
        <v>235</v>
      </c>
      <c r="K36" s="4">
        <v>30</v>
      </c>
      <c r="L36" s="14">
        <f t="shared" si="0"/>
        <v>150</v>
      </c>
      <c r="M36" s="4">
        <v>55</v>
      </c>
      <c r="N36" s="14">
        <f t="shared" si="1"/>
        <v>275</v>
      </c>
    </row>
    <row r="37" spans="1:15" ht="21.45" customHeight="1">
      <c r="A37" s="23" t="s">
        <v>2</v>
      </c>
      <c r="B37" s="12" t="s">
        <v>140</v>
      </c>
      <c r="C37" s="12" t="s">
        <v>8</v>
      </c>
      <c r="D37" s="5">
        <v>2011</v>
      </c>
      <c r="E37" s="5">
        <v>2</v>
      </c>
      <c r="F37" s="5">
        <v>98</v>
      </c>
      <c r="G37" s="5"/>
      <c r="H37" s="5">
        <v>2025</v>
      </c>
      <c r="I37" s="23" t="s">
        <v>142</v>
      </c>
      <c r="J37" s="14" t="s">
        <v>154</v>
      </c>
      <c r="K37" s="4">
        <v>44</v>
      </c>
      <c r="L37" s="14">
        <f t="shared" ref="L37:L68" si="2">IF(E37="","",E37*K37)</f>
        <v>88</v>
      </c>
      <c r="M37" s="4">
        <v>100</v>
      </c>
      <c r="N37" s="14">
        <f t="shared" ref="N37:N68" si="3">IF(M37="","",M37*E37)</f>
        <v>200</v>
      </c>
    </row>
    <row r="38" spans="1:15" ht="90.45" customHeight="1">
      <c r="A38" s="23" t="s">
        <v>2</v>
      </c>
      <c r="B38" s="23" t="s">
        <v>7</v>
      </c>
      <c r="C38" s="23" t="s">
        <v>47</v>
      </c>
      <c r="D38" s="23">
        <v>2011</v>
      </c>
      <c r="E38" s="23">
        <v>7</v>
      </c>
      <c r="F38" s="23">
        <v>96</v>
      </c>
      <c r="G38" s="23">
        <v>2028</v>
      </c>
      <c r="H38" s="23">
        <v>2038</v>
      </c>
      <c r="I38" s="23" t="s">
        <v>82</v>
      </c>
      <c r="J38" s="24" t="s">
        <v>241</v>
      </c>
      <c r="K38" s="23">
        <v>75</v>
      </c>
      <c r="L38" s="24">
        <f t="shared" si="2"/>
        <v>525</v>
      </c>
      <c r="M38" s="23">
        <v>8</v>
      </c>
      <c r="N38" s="24">
        <f t="shared" si="3"/>
        <v>56</v>
      </c>
      <c r="O38" s="23"/>
    </row>
    <row r="39" spans="1:15" ht="21.45" customHeight="1">
      <c r="A39" s="23" t="s">
        <v>2</v>
      </c>
      <c r="B39" s="12" t="s">
        <v>7</v>
      </c>
      <c r="C39" s="12" t="s">
        <v>47</v>
      </c>
      <c r="D39" s="5">
        <v>2013</v>
      </c>
      <c r="E39" s="5">
        <v>2</v>
      </c>
      <c r="F39" s="5">
        <v>96</v>
      </c>
      <c r="G39" s="5">
        <v>2026</v>
      </c>
      <c r="H39" s="5">
        <v>2039</v>
      </c>
      <c r="I39" s="23" t="s">
        <v>82</v>
      </c>
      <c r="J39" s="14" t="s">
        <v>190</v>
      </c>
      <c r="K39" s="4">
        <v>55</v>
      </c>
      <c r="L39" s="14">
        <f t="shared" si="2"/>
        <v>110</v>
      </c>
      <c r="M39" s="4">
        <v>7</v>
      </c>
      <c r="N39" s="14">
        <f t="shared" si="3"/>
        <v>14</v>
      </c>
    </row>
    <row r="40" spans="1:15" s="23" customFormat="1" ht="108" customHeight="1">
      <c r="A40" s="23" t="s">
        <v>2</v>
      </c>
      <c r="B40" s="27" t="s">
        <v>7</v>
      </c>
      <c r="C40" s="27" t="s">
        <v>47</v>
      </c>
      <c r="D40" s="23">
        <v>2014</v>
      </c>
      <c r="E40" s="23">
        <v>19</v>
      </c>
      <c r="F40" s="23">
        <v>96</v>
      </c>
      <c r="G40" s="23">
        <v>2026</v>
      </c>
      <c r="H40" s="23">
        <v>2036</v>
      </c>
      <c r="I40" s="23" t="s">
        <v>82</v>
      </c>
      <c r="J40" s="41" t="s">
        <v>188</v>
      </c>
      <c r="K40" s="26">
        <v>50</v>
      </c>
      <c r="L40" s="21">
        <f t="shared" si="2"/>
        <v>950</v>
      </c>
      <c r="M40" s="26">
        <v>70</v>
      </c>
      <c r="N40" s="21">
        <f t="shared" si="3"/>
        <v>1330</v>
      </c>
      <c r="O40" s="4"/>
    </row>
    <row r="41" spans="1:15" ht="21.45" customHeight="1">
      <c r="A41" s="23" t="s">
        <v>2</v>
      </c>
      <c r="B41" s="12" t="s">
        <v>67</v>
      </c>
      <c r="C41" s="12"/>
      <c r="D41" s="5">
        <v>2017</v>
      </c>
      <c r="E41" s="5">
        <v>6</v>
      </c>
      <c r="F41" s="5">
        <v>96</v>
      </c>
      <c r="G41" s="5">
        <v>2027</v>
      </c>
      <c r="H41" s="5">
        <v>2030</v>
      </c>
      <c r="I41" s="23" t="s">
        <v>82</v>
      </c>
      <c r="J41" s="14"/>
      <c r="K41" s="4">
        <v>80</v>
      </c>
      <c r="L41" s="14">
        <f t="shared" si="2"/>
        <v>480</v>
      </c>
      <c r="M41" s="4">
        <v>9</v>
      </c>
      <c r="N41" s="14">
        <f t="shared" si="3"/>
        <v>54</v>
      </c>
      <c r="O41" s="29"/>
    </row>
    <row r="42" spans="1:15" ht="21.45" customHeight="1">
      <c r="A42" s="35" t="s">
        <v>2</v>
      </c>
      <c r="B42" s="23" t="s">
        <v>67</v>
      </c>
      <c r="C42" s="23" t="s">
        <v>8</v>
      </c>
      <c r="D42" s="23">
        <v>2018</v>
      </c>
      <c r="E42" s="35">
        <v>6</v>
      </c>
      <c r="F42" s="35">
        <v>96</v>
      </c>
      <c r="G42" s="35">
        <v>2024</v>
      </c>
      <c r="H42" s="35">
        <v>2033</v>
      </c>
      <c r="I42" s="35" t="s">
        <v>82</v>
      </c>
      <c r="J42" s="40" t="s">
        <v>211</v>
      </c>
      <c r="K42" s="23">
        <v>80</v>
      </c>
      <c r="L42" s="24">
        <f t="shared" si="2"/>
        <v>480</v>
      </c>
      <c r="M42" s="23">
        <v>80</v>
      </c>
      <c r="N42" s="24">
        <f t="shared" si="3"/>
        <v>480</v>
      </c>
    </row>
    <row r="43" spans="1:15" ht="21.45" customHeight="1">
      <c r="A43" s="23" t="s">
        <v>35</v>
      </c>
      <c r="B43" s="27" t="s">
        <v>33</v>
      </c>
      <c r="C43" s="27" t="s">
        <v>33</v>
      </c>
      <c r="D43" s="23">
        <v>2021</v>
      </c>
      <c r="E43" s="23">
        <v>4</v>
      </c>
      <c r="F43" s="23">
        <v>92</v>
      </c>
      <c r="G43" s="23">
        <v>2030</v>
      </c>
      <c r="H43" s="23">
        <v>2036</v>
      </c>
      <c r="I43" s="23" t="s">
        <v>163</v>
      </c>
      <c r="J43" s="31" t="s">
        <v>240</v>
      </c>
      <c r="K43" s="4">
        <v>20</v>
      </c>
      <c r="L43" s="14">
        <f t="shared" si="2"/>
        <v>80</v>
      </c>
      <c r="M43" s="4">
        <v>20</v>
      </c>
      <c r="N43" s="14">
        <f t="shared" si="3"/>
        <v>80</v>
      </c>
    </row>
    <row r="44" spans="1:15" ht="21.45" customHeight="1">
      <c r="A44" s="23" t="s">
        <v>69</v>
      </c>
      <c r="B44" s="12" t="s">
        <v>70</v>
      </c>
      <c r="C44" s="12" t="s">
        <v>8</v>
      </c>
      <c r="D44" s="5">
        <v>2015</v>
      </c>
      <c r="E44" s="5">
        <v>6</v>
      </c>
      <c r="F44" s="5"/>
      <c r="G44" s="5"/>
      <c r="H44" s="5"/>
      <c r="I44" s="23" t="s">
        <v>81</v>
      </c>
      <c r="J44" s="14"/>
      <c r="K44" s="4">
        <v>55</v>
      </c>
      <c r="L44" s="14">
        <f t="shared" si="2"/>
        <v>330</v>
      </c>
      <c r="M44" s="4">
        <v>55</v>
      </c>
      <c r="N44" s="14">
        <f t="shared" si="3"/>
        <v>330</v>
      </c>
    </row>
    <row r="45" spans="1:15" ht="21.45" customHeight="1">
      <c r="A45" s="23" t="s">
        <v>22</v>
      </c>
      <c r="B45" s="12" t="s">
        <v>23</v>
      </c>
      <c r="C45" s="12" t="s">
        <v>47</v>
      </c>
      <c r="D45" s="5">
        <v>2013</v>
      </c>
      <c r="E45" s="5">
        <v>6</v>
      </c>
      <c r="F45" s="5">
        <v>94</v>
      </c>
      <c r="G45" s="5"/>
      <c r="H45" s="5"/>
      <c r="I45" s="23" t="s">
        <v>171</v>
      </c>
      <c r="J45" s="14"/>
      <c r="K45" s="4">
        <v>55</v>
      </c>
      <c r="L45" s="14">
        <f t="shared" si="2"/>
        <v>330</v>
      </c>
      <c r="M45" s="4">
        <v>80</v>
      </c>
      <c r="N45" s="14">
        <f t="shared" si="3"/>
        <v>480</v>
      </c>
    </row>
    <row r="46" spans="1:15" ht="21.45" customHeight="1">
      <c r="A46" s="23" t="s">
        <v>146</v>
      </c>
      <c r="B46" s="12" t="s">
        <v>147</v>
      </c>
      <c r="C46" s="12" t="s">
        <v>8</v>
      </c>
      <c r="D46" s="5">
        <v>2014</v>
      </c>
      <c r="E46" s="5">
        <v>8</v>
      </c>
      <c r="F46" s="5">
        <v>96</v>
      </c>
      <c r="G46" s="5">
        <v>2025</v>
      </c>
      <c r="H46" s="5">
        <v>2040</v>
      </c>
      <c r="I46" s="23" t="s">
        <v>82</v>
      </c>
      <c r="J46" s="14"/>
      <c r="K46" s="4">
        <v>3</v>
      </c>
      <c r="L46" s="14">
        <f t="shared" si="2"/>
        <v>24</v>
      </c>
      <c r="M46" s="4">
        <v>4</v>
      </c>
      <c r="N46" s="14">
        <f t="shared" si="3"/>
        <v>32</v>
      </c>
    </row>
    <row r="47" spans="1:15" ht="21.45" customHeight="1">
      <c r="A47" s="23" t="s">
        <v>233</v>
      </c>
      <c r="B47" s="26" t="s">
        <v>236</v>
      </c>
      <c r="C47" s="26" t="s">
        <v>33</v>
      </c>
      <c r="D47" s="26">
        <v>2023</v>
      </c>
      <c r="E47" s="26">
        <v>6</v>
      </c>
      <c r="F47" s="26">
        <v>96</v>
      </c>
      <c r="G47" s="26">
        <v>2025</v>
      </c>
      <c r="H47" s="26">
        <v>2037</v>
      </c>
      <c r="I47" s="26" t="s">
        <v>159</v>
      </c>
      <c r="J47" s="31" t="s">
        <v>237</v>
      </c>
      <c r="K47" s="4">
        <v>16</v>
      </c>
      <c r="L47" s="14">
        <f t="shared" si="2"/>
        <v>96</v>
      </c>
      <c r="M47" s="4">
        <v>35</v>
      </c>
      <c r="N47" s="14">
        <f t="shared" si="3"/>
        <v>210</v>
      </c>
    </row>
    <row r="48" spans="1:15" ht="21.45" customHeight="1">
      <c r="A48" s="23" t="s">
        <v>161</v>
      </c>
      <c r="B48" s="12" t="s">
        <v>162</v>
      </c>
      <c r="C48" s="12" t="s">
        <v>33</v>
      </c>
      <c r="D48" s="5">
        <v>2012</v>
      </c>
      <c r="E48" s="5">
        <v>6</v>
      </c>
      <c r="F48" s="5"/>
      <c r="G48" s="5"/>
      <c r="H48" s="5"/>
      <c r="I48" s="23" t="s">
        <v>163</v>
      </c>
      <c r="J48" s="14"/>
      <c r="K48" s="4">
        <v>2</v>
      </c>
      <c r="L48" s="14">
        <f t="shared" si="2"/>
        <v>12</v>
      </c>
      <c r="M48" s="4">
        <v>12</v>
      </c>
      <c r="N48" s="14">
        <f t="shared" si="3"/>
        <v>72</v>
      </c>
    </row>
    <row r="49" spans="1:15" ht="46.5" customHeight="1">
      <c r="A49" s="23" t="s">
        <v>161</v>
      </c>
      <c r="B49" s="12" t="s">
        <v>162</v>
      </c>
      <c r="C49" s="12" t="s">
        <v>33</v>
      </c>
      <c r="D49" s="5">
        <v>2015</v>
      </c>
      <c r="E49" s="5">
        <v>6</v>
      </c>
      <c r="F49" s="5"/>
      <c r="G49" s="5"/>
      <c r="H49" s="5"/>
      <c r="I49" s="23" t="s">
        <v>163</v>
      </c>
      <c r="J49" s="14"/>
      <c r="K49" s="4">
        <v>2</v>
      </c>
      <c r="L49" s="14">
        <f t="shared" si="2"/>
        <v>12</v>
      </c>
      <c r="M49" s="4">
        <v>12</v>
      </c>
      <c r="N49" s="14">
        <f t="shared" si="3"/>
        <v>72</v>
      </c>
    </row>
    <row r="50" spans="1:15" ht="21.45" customHeight="1">
      <c r="A50" s="23" t="s">
        <v>1</v>
      </c>
      <c r="B50" s="12">
        <v>389</v>
      </c>
      <c r="C50" s="12" t="s">
        <v>45</v>
      </c>
      <c r="D50" s="5">
        <v>1998</v>
      </c>
      <c r="E50" s="5">
        <v>1</v>
      </c>
      <c r="F50" s="5">
        <v>97</v>
      </c>
      <c r="G50" s="5"/>
      <c r="H50" s="5">
        <v>2025</v>
      </c>
      <c r="I50" s="23" t="s">
        <v>83</v>
      </c>
      <c r="J50" s="14" t="s">
        <v>110</v>
      </c>
      <c r="K50" s="4">
        <v>28</v>
      </c>
      <c r="L50" s="14">
        <f t="shared" si="2"/>
        <v>28</v>
      </c>
      <c r="M50" s="4">
        <v>6</v>
      </c>
      <c r="N50" s="14">
        <f t="shared" si="3"/>
        <v>6</v>
      </c>
      <c r="O50" s="23"/>
    </row>
    <row r="51" spans="1:15" s="26" customFormat="1" ht="76.95" customHeight="1">
      <c r="A51" s="23" t="s">
        <v>1</v>
      </c>
      <c r="B51" s="12" t="s">
        <v>66</v>
      </c>
      <c r="C51" s="12" t="s">
        <v>8</v>
      </c>
      <c r="D51" s="5">
        <v>2010</v>
      </c>
      <c r="E51" s="5">
        <v>6</v>
      </c>
      <c r="F51" s="5">
        <v>97</v>
      </c>
      <c r="G51" s="5">
        <v>2030</v>
      </c>
      <c r="H51" s="5">
        <v>2040</v>
      </c>
      <c r="I51" s="23" t="s">
        <v>83</v>
      </c>
      <c r="J51" s="33" t="s">
        <v>210</v>
      </c>
      <c r="K51" s="4">
        <v>150</v>
      </c>
      <c r="L51" s="14">
        <f t="shared" si="2"/>
        <v>900</v>
      </c>
      <c r="M51" s="4">
        <v>225</v>
      </c>
      <c r="N51" s="14">
        <f t="shared" si="3"/>
        <v>1350</v>
      </c>
      <c r="O51" s="23"/>
    </row>
    <row r="52" spans="1:15" ht="21.45" customHeight="1">
      <c r="A52" s="23" t="s">
        <v>1</v>
      </c>
      <c r="B52" s="12" t="s">
        <v>65</v>
      </c>
      <c r="C52" s="12" t="s">
        <v>8</v>
      </c>
      <c r="D52" s="5">
        <v>2010</v>
      </c>
      <c r="E52" s="5">
        <v>6</v>
      </c>
      <c r="F52" s="5"/>
      <c r="G52" s="5"/>
      <c r="H52" s="5"/>
      <c r="I52" s="23" t="s">
        <v>142</v>
      </c>
      <c r="J52" s="16"/>
      <c r="K52" s="4">
        <v>4</v>
      </c>
      <c r="L52" s="14">
        <f t="shared" si="2"/>
        <v>24</v>
      </c>
      <c r="M52" s="4">
        <v>99</v>
      </c>
      <c r="N52" s="14">
        <f t="shared" si="3"/>
        <v>594</v>
      </c>
    </row>
    <row r="53" spans="1:15" ht="21.45" customHeight="1">
      <c r="A53" s="23" t="s">
        <v>1</v>
      </c>
      <c r="B53" s="12">
        <v>389</v>
      </c>
      <c r="C53" s="12" t="s">
        <v>45</v>
      </c>
      <c r="D53" s="5">
        <v>2012</v>
      </c>
      <c r="E53" s="5">
        <v>12</v>
      </c>
      <c r="F53" s="5">
        <v>97</v>
      </c>
      <c r="G53" s="5"/>
      <c r="H53" s="5"/>
      <c r="I53" s="23" t="s">
        <v>83</v>
      </c>
      <c r="J53" s="14" t="s">
        <v>229</v>
      </c>
      <c r="K53" s="4">
        <v>1</v>
      </c>
      <c r="L53" s="14">
        <f t="shared" si="2"/>
        <v>12</v>
      </c>
      <c r="M53" s="4">
        <v>54</v>
      </c>
      <c r="N53" s="14">
        <f t="shared" si="3"/>
        <v>648</v>
      </c>
      <c r="O53" s="23"/>
    </row>
    <row r="54" spans="1:15" ht="21.45" customHeight="1">
      <c r="A54" s="26" t="s">
        <v>1</v>
      </c>
      <c r="B54" s="26" t="s">
        <v>66</v>
      </c>
      <c r="C54" s="26" t="s">
        <v>8</v>
      </c>
      <c r="D54" s="26">
        <v>2012</v>
      </c>
      <c r="E54" s="26">
        <v>6</v>
      </c>
      <c r="F54" s="26">
        <v>97</v>
      </c>
      <c r="G54" s="26">
        <v>2032</v>
      </c>
      <c r="H54" s="26">
        <v>2042</v>
      </c>
      <c r="I54" s="26" t="s">
        <v>83</v>
      </c>
      <c r="J54" s="39" t="s">
        <v>209</v>
      </c>
      <c r="K54" s="26">
        <v>150</v>
      </c>
      <c r="L54" s="21">
        <f t="shared" si="2"/>
        <v>900</v>
      </c>
      <c r="M54" s="26">
        <v>250</v>
      </c>
      <c r="N54" s="21">
        <f t="shared" si="3"/>
        <v>1500</v>
      </c>
      <c r="O54" s="23"/>
    </row>
    <row r="55" spans="1:15" ht="21.45" customHeight="1">
      <c r="A55" s="23" t="s">
        <v>1</v>
      </c>
      <c r="B55" s="12">
        <v>389</v>
      </c>
      <c r="C55" s="12" t="s">
        <v>45</v>
      </c>
      <c r="D55" s="5">
        <v>2016</v>
      </c>
      <c r="E55" s="5">
        <v>9</v>
      </c>
      <c r="F55" s="5">
        <v>94</v>
      </c>
      <c r="G55" s="5">
        <v>2028</v>
      </c>
      <c r="H55" s="5">
        <v>2033</v>
      </c>
      <c r="I55" s="23" t="s">
        <v>83</v>
      </c>
      <c r="J55" s="31" t="s">
        <v>230</v>
      </c>
      <c r="K55" s="4">
        <v>77</v>
      </c>
      <c r="L55" s="14">
        <f t="shared" si="2"/>
        <v>693</v>
      </c>
      <c r="M55" s="4">
        <v>130</v>
      </c>
      <c r="N55" s="14">
        <f t="shared" si="3"/>
        <v>1170</v>
      </c>
    </row>
    <row r="56" spans="1:15" ht="72" customHeight="1">
      <c r="A56" s="23" t="s">
        <v>1</v>
      </c>
      <c r="B56" s="12">
        <v>389</v>
      </c>
      <c r="C56" s="12" t="s">
        <v>45</v>
      </c>
      <c r="D56" s="5">
        <v>2017</v>
      </c>
      <c r="E56" s="5">
        <v>12</v>
      </c>
      <c r="F56" s="5">
        <v>96</v>
      </c>
      <c r="G56" s="5"/>
      <c r="H56" s="5">
        <v>2027</v>
      </c>
      <c r="I56" s="23" t="s">
        <v>83</v>
      </c>
      <c r="J56" s="14"/>
      <c r="K56" s="4">
        <v>70</v>
      </c>
      <c r="L56" s="14">
        <f t="shared" si="2"/>
        <v>840</v>
      </c>
      <c r="M56" s="4">
        <v>85</v>
      </c>
      <c r="N56" s="14">
        <f t="shared" si="3"/>
        <v>1020</v>
      </c>
    </row>
    <row r="57" spans="1:15" ht="21.45" customHeight="1">
      <c r="A57" s="23" t="s">
        <v>1</v>
      </c>
      <c r="B57" s="12">
        <v>389</v>
      </c>
      <c r="C57" s="12" t="s">
        <v>45</v>
      </c>
      <c r="D57" s="5">
        <v>2019</v>
      </c>
      <c r="E57" s="5">
        <v>6</v>
      </c>
      <c r="F57" s="5">
        <v>97</v>
      </c>
      <c r="G57" s="5"/>
      <c r="H57" s="5">
        <v>2030</v>
      </c>
      <c r="I57" s="23" t="s">
        <v>83</v>
      </c>
      <c r="J57" s="31" t="s">
        <v>228</v>
      </c>
      <c r="K57" s="4">
        <v>80</v>
      </c>
      <c r="L57" s="14">
        <f t="shared" si="2"/>
        <v>480</v>
      </c>
      <c r="M57" s="4">
        <v>9</v>
      </c>
      <c r="N57" s="14">
        <f t="shared" si="3"/>
        <v>54</v>
      </c>
    </row>
    <row r="58" spans="1:15" ht="21.45" customHeight="1">
      <c r="A58" s="23" t="s">
        <v>124</v>
      </c>
      <c r="B58" s="12" t="s">
        <v>138</v>
      </c>
      <c r="C58" s="12" t="s">
        <v>31</v>
      </c>
      <c r="D58" s="5">
        <v>2004</v>
      </c>
      <c r="E58" s="5">
        <v>6</v>
      </c>
      <c r="F58" s="5">
        <v>98</v>
      </c>
      <c r="G58" s="5">
        <v>2027</v>
      </c>
      <c r="H58" s="5">
        <v>2037</v>
      </c>
      <c r="I58" s="23" t="s">
        <v>86</v>
      </c>
      <c r="J58" s="14" t="s">
        <v>154</v>
      </c>
      <c r="K58" s="4">
        <v>1</v>
      </c>
      <c r="L58" s="14">
        <f t="shared" si="2"/>
        <v>6</v>
      </c>
      <c r="M58" s="4">
        <v>88</v>
      </c>
      <c r="N58" s="14">
        <f t="shared" si="3"/>
        <v>528</v>
      </c>
    </row>
    <row r="59" spans="1:15" ht="21.45" customHeight="1">
      <c r="A59" s="23" t="s">
        <v>168</v>
      </c>
      <c r="B59" s="12" t="s">
        <v>33</v>
      </c>
      <c r="C59" s="12" t="s">
        <v>33</v>
      </c>
      <c r="D59" s="5">
        <v>2020</v>
      </c>
      <c r="E59" s="5">
        <v>6</v>
      </c>
      <c r="F59" s="5">
        <v>98</v>
      </c>
      <c r="G59" s="5"/>
      <c r="H59" s="5"/>
      <c r="I59" s="23" t="s">
        <v>172</v>
      </c>
      <c r="J59" s="14"/>
      <c r="K59" s="4"/>
      <c r="L59" s="14">
        <f t="shared" si="2"/>
        <v>0</v>
      </c>
      <c r="M59" s="4">
        <v>1</v>
      </c>
      <c r="N59" s="14">
        <f t="shared" si="3"/>
        <v>6</v>
      </c>
    </row>
    <row r="60" spans="1:15" ht="21.45" customHeight="1">
      <c r="A60" s="23" t="s">
        <v>54</v>
      </c>
      <c r="B60" s="12" t="s">
        <v>176</v>
      </c>
      <c r="C60" s="12" t="s">
        <v>8</v>
      </c>
      <c r="D60" s="5">
        <v>2012</v>
      </c>
      <c r="E60" s="5">
        <v>6</v>
      </c>
      <c r="F60" s="5"/>
      <c r="G60" s="5"/>
      <c r="H60" s="5"/>
      <c r="I60" s="23" t="s">
        <v>81</v>
      </c>
      <c r="J60" s="14"/>
      <c r="K60" s="4">
        <v>12</v>
      </c>
      <c r="L60" s="14">
        <f t="shared" si="2"/>
        <v>72</v>
      </c>
      <c r="M60" s="4">
        <v>35</v>
      </c>
      <c r="N60" s="14">
        <f t="shared" si="3"/>
        <v>210</v>
      </c>
      <c r="O60" s="23"/>
    </row>
    <row r="61" spans="1:15" ht="21.45" customHeight="1">
      <c r="A61" s="23" t="s">
        <v>54</v>
      </c>
      <c r="B61" s="12" t="s">
        <v>55</v>
      </c>
      <c r="C61" s="12" t="s">
        <v>8</v>
      </c>
      <c r="D61" s="5">
        <v>2012</v>
      </c>
      <c r="E61" s="5">
        <v>6</v>
      </c>
      <c r="F61" s="5"/>
      <c r="G61" s="5"/>
      <c r="H61" s="5"/>
      <c r="I61" s="23" t="s">
        <v>81</v>
      </c>
      <c r="J61" s="14"/>
      <c r="K61" s="4">
        <v>2</v>
      </c>
      <c r="L61" s="14">
        <f t="shared" si="2"/>
        <v>12</v>
      </c>
      <c r="M61" s="4">
        <v>55</v>
      </c>
      <c r="N61" s="14">
        <f t="shared" si="3"/>
        <v>330</v>
      </c>
      <c r="O61" s="26"/>
    </row>
    <row r="62" spans="1:15" ht="21.45" customHeight="1">
      <c r="A62" s="23" t="s">
        <v>54</v>
      </c>
      <c r="B62" s="12" t="s">
        <v>176</v>
      </c>
      <c r="C62" s="12" t="s">
        <v>8</v>
      </c>
      <c r="D62" s="5">
        <v>2013</v>
      </c>
      <c r="E62" s="5">
        <v>4</v>
      </c>
      <c r="F62" s="5"/>
      <c r="G62" s="5"/>
      <c r="H62" s="5"/>
      <c r="I62" s="23" t="s">
        <v>81</v>
      </c>
      <c r="J62" s="14"/>
      <c r="K62" s="4">
        <v>12</v>
      </c>
      <c r="L62" s="14">
        <f t="shared" si="2"/>
        <v>48</v>
      </c>
      <c r="M62" s="4">
        <v>25</v>
      </c>
      <c r="N62" s="14">
        <f t="shared" si="3"/>
        <v>100</v>
      </c>
      <c r="O62" s="23"/>
    </row>
    <row r="63" spans="1:15" ht="21.45" customHeight="1">
      <c r="A63" s="23" t="s">
        <v>54</v>
      </c>
      <c r="B63" s="12" t="s">
        <v>57</v>
      </c>
      <c r="C63" s="12" t="s">
        <v>33</v>
      </c>
      <c r="D63" s="5">
        <v>2019</v>
      </c>
      <c r="E63" s="5">
        <v>6</v>
      </c>
      <c r="F63" s="5"/>
      <c r="G63" s="5"/>
      <c r="H63" s="5"/>
      <c r="I63" s="23" t="s">
        <v>160</v>
      </c>
      <c r="J63" s="14"/>
      <c r="K63" s="4">
        <v>2</v>
      </c>
      <c r="L63" s="14">
        <f t="shared" si="2"/>
        <v>12</v>
      </c>
      <c r="M63" s="4">
        <v>95</v>
      </c>
      <c r="N63" s="14">
        <f t="shared" si="3"/>
        <v>570</v>
      </c>
    </row>
    <row r="64" spans="1:15" s="26" customFormat="1" ht="15.75" customHeight="1">
      <c r="A64" s="23" t="s">
        <v>198</v>
      </c>
      <c r="B64" s="12" t="s">
        <v>199</v>
      </c>
      <c r="C64" s="12" t="s">
        <v>46</v>
      </c>
      <c r="D64" s="5">
        <v>2021</v>
      </c>
      <c r="E64" s="5">
        <v>2</v>
      </c>
      <c r="F64" s="5">
        <v>97</v>
      </c>
      <c r="G64" s="5">
        <v>2023</v>
      </c>
      <c r="H64" s="5">
        <v>2036</v>
      </c>
      <c r="I64" s="23" t="s">
        <v>172</v>
      </c>
      <c r="J64" s="30" t="s">
        <v>201</v>
      </c>
      <c r="K64" s="4">
        <v>90</v>
      </c>
      <c r="L64" s="14">
        <f t="shared" si="2"/>
        <v>180</v>
      </c>
      <c r="M64" s="4">
        <v>125</v>
      </c>
      <c r="N64" s="14">
        <f t="shared" si="3"/>
        <v>250</v>
      </c>
      <c r="O64" s="4"/>
    </row>
    <row r="65" spans="1:15" ht="21.45" customHeight="1">
      <c r="A65" s="23" t="s">
        <v>5</v>
      </c>
      <c r="B65" s="12" t="s">
        <v>50</v>
      </c>
      <c r="C65" s="12"/>
      <c r="D65" s="5">
        <v>2009</v>
      </c>
      <c r="E65" s="5">
        <v>5</v>
      </c>
      <c r="F65" s="5">
        <v>99</v>
      </c>
      <c r="G65" s="5">
        <v>2030</v>
      </c>
      <c r="H65" s="5">
        <v>2045</v>
      </c>
      <c r="I65" s="23" t="s">
        <v>82</v>
      </c>
      <c r="J65" s="14" t="s">
        <v>187</v>
      </c>
      <c r="K65" s="4">
        <v>70</v>
      </c>
      <c r="L65" s="14">
        <f t="shared" si="2"/>
        <v>350</v>
      </c>
      <c r="M65" s="4">
        <v>8</v>
      </c>
      <c r="N65" s="14">
        <f t="shared" si="3"/>
        <v>40</v>
      </c>
    </row>
    <row r="66" spans="1:15" ht="21.45" customHeight="1">
      <c r="A66" s="23" t="s">
        <v>5</v>
      </c>
      <c r="B66" s="12" t="s">
        <v>50</v>
      </c>
      <c r="C66" s="12"/>
      <c r="D66" s="5">
        <v>2013</v>
      </c>
      <c r="E66" s="5">
        <v>2</v>
      </c>
      <c r="F66" s="5">
        <v>94</v>
      </c>
      <c r="G66" s="5"/>
      <c r="H66" s="5">
        <v>2040</v>
      </c>
      <c r="I66" s="23" t="s">
        <v>82</v>
      </c>
      <c r="J66" s="14"/>
      <c r="K66" s="4">
        <v>70</v>
      </c>
      <c r="L66" s="14">
        <f t="shared" si="2"/>
        <v>140</v>
      </c>
      <c r="M66" s="4">
        <v>8</v>
      </c>
      <c r="N66" s="14">
        <f t="shared" si="3"/>
        <v>16</v>
      </c>
    </row>
    <row r="67" spans="1:15" ht="67.05" customHeight="1">
      <c r="A67" s="23" t="s">
        <v>5</v>
      </c>
      <c r="B67" s="12" t="s">
        <v>155</v>
      </c>
      <c r="C67" s="12"/>
      <c r="D67" s="5">
        <v>2014</v>
      </c>
      <c r="E67" s="5">
        <v>2</v>
      </c>
      <c r="F67" s="5">
        <v>94</v>
      </c>
      <c r="G67" s="5"/>
      <c r="H67" s="5">
        <v>2027</v>
      </c>
      <c r="I67" s="23" t="s">
        <v>82</v>
      </c>
      <c r="J67" s="14"/>
      <c r="K67" s="4">
        <v>40</v>
      </c>
      <c r="L67" s="14">
        <f t="shared" si="2"/>
        <v>80</v>
      </c>
      <c r="M67" s="4">
        <v>6</v>
      </c>
      <c r="N67" s="14">
        <f t="shared" si="3"/>
        <v>12</v>
      </c>
      <c r="O67" s="26"/>
    </row>
    <row r="68" spans="1:15" ht="21.45" customHeight="1">
      <c r="A68" s="23" t="s">
        <v>5</v>
      </c>
      <c r="B68" s="27" t="s">
        <v>52</v>
      </c>
      <c r="C68" s="27"/>
      <c r="D68" s="23">
        <v>2014</v>
      </c>
      <c r="E68" s="23">
        <v>2</v>
      </c>
      <c r="F68" s="23">
        <v>99</v>
      </c>
      <c r="G68" s="23">
        <v>2030</v>
      </c>
      <c r="H68" s="23">
        <v>2047</v>
      </c>
      <c r="I68" s="23" t="s">
        <v>82</v>
      </c>
      <c r="J68" s="22" t="s">
        <v>195</v>
      </c>
      <c r="K68" s="26">
        <v>60</v>
      </c>
      <c r="L68" s="21">
        <f t="shared" si="2"/>
        <v>120</v>
      </c>
      <c r="M68" s="26">
        <v>67</v>
      </c>
      <c r="N68" s="21">
        <f t="shared" si="3"/>
        <v>134</v>
      </c>
    </row>
    <row r="69" spans="1:15" ht="78.45" customHeight="1">
      <c r="A69" s="23" t="s">
        <v>4</v>
      </c>
      <c r="B69" s="12" t="s">
        <v>31</v>
      </c>
      <c r="C69" s="12" t="s">
        <v>31</v>
      </c>
      <c r="D69" s="5">
        <v>2010</v>
      </c>
      <c r="E69" s="5">
        <v>2</v>
      </c>
      <c r="F69" s="5"/>
      <c r="G69" s="5"/>
      <c r="H69" s="5"/>
      <c r="I69" s="23" t="s">
        <v>84</v>
      </c>
      <c r="J69" s="14"/>
      <c r="K69" s="4">
        <v>22</v>
      </c>
      <c r="L69" s="14">
        <f t="shared" ref="L69:L100" si="4">IF(E69="","",E69*K69)</f>
        <v>44</v>
      </c>
      <c r="M69" s="4">
        <v>45</v>
      </c>
      <c r="N69" s="14">
        <f t="shared" ref="N69:N100" si="5">IF(M69="","",M69*E69)</f>
        <v>90</v>
      </c>
    </row>
    <row r="70" spans="1:15" ht="21.45" customHeight="1">
      <c r="A70" s="23" t="s">
        <v>4</v>
      </c>
      <c r="B70" s="12" t="s">
        <v>31</v>
      </c>
      <c r="C70" s="12" t="s">
        <v>31</v>
      </c>
      <c r="D70" s="5">
        <v>2012</v>
      </c>
      <c r="E70" s="5">
        <v>2</v>
      </c>
      <c r="F70" s="5">
        <v>95</v>
      </c>
      <c r="G70" s="5">
        <v>2023</v>
      </c>
      <c r="H70" s="5">
        <v>2032</v>
      </c>
      <c r="I70" s="23" t="s">
        <v>84</v>
      </c>
      <c r="J70" s="18" t="s">
        <v>208</v>
      </c>
      <c r="K70" s="4">
        <v>22</v>
      </c>
      <c r="L70" s="14">
        <f t="shared" si="4"/>
        <v>44</v>
      </c>
      <c r="M70" s="4">
        <v>33</v>
      </c>
      <c r="N70" s="14">
        <f t="shared" si="5"/>
        <v>66</v>
      </c>
      <c r="O70" s="23"/>
    </row>
    <row r="71" spans="1:15" s="26" customFormat="1" ht="15.75" customHeight="1">
      <c r="A71" s="23" t="s">
        <v>4</v>
      </c>
      <c r="B71" s="12" t="s">
        <v>32</v>
      </c>
      <c r="C71" s="12"/>
      <c r="D71" s="5">
        <v>2013</v>
      </c>
      <c r="E71" s="5">
        <v>2</v>
      </c>
      <c r="F71" s="5">
        <v>98</v>
      </c>
      <c r="G71" s="5"/>
      <c r="H71" s="5"/>
      <c r="I71" s="23" t="s">
        <v>84</v>
      </c>
      <c r="J71" s="14" t="s">
        <v>154</v>
      </c>
      <c r="K71" s="4">
        <v>3</v>
      </c>
      <c r="L71" s="14">
        <f t="shared" si="4"/>
        <v>6</v>
      </c>
      <c r="M71" s="4">
        <v>4</v>
      </c>
      <c r="N71" s="14">
        <f t="shared" si="5"/>
        <v>8</v>
      </c>
      <c r="O71" s="34"/>
    </row>
    <row r="72" spans="1:15" ht="21.45" customHeight="1">
      <c r="A72" s="23" t="s">
        <v>4</v>
      </c>
      <c r="B72" s="12" t="s">
        <v>31</v>
      </c>
      <c r="C72" s="12" t="s">
        <v>31</v>
      </c>
      <c r="D72" s="5">
        <v>2014</v>
      </c>
      <c r="E72" s="5">
        <v>2</v>
      </c>
      <c r="F72" s="5"/>
      <c r="G72" s="5"/>
      <c r="H72" s="5"/>
      <c r="I72" s="23" t="s">
        <v>84</v>
      </c>
      <c r="J72" s="14" t="s">
        <v>224</v>
      </c>
      <c r="K72" s="4">
        <v>25</v>
      </c>
      <c r="L72" s="14">
        <f t="shared" si="4"/>
        <v>50</v>
      </c>
      <c r="M72" s="4">
        <v>45</v>
      </c>
      <c r="N72" s="14">
        <f t="shared" si="5"/>
        <v>90</v>
      </c>
    </row>
    <row r="73" spans="1:15" s="26" customFormat="1" ht="85.5" customHeight="1">
      <c r="A73" s="23" t="s">
        <v>231</v>
      </c>
      <c r="B73" s="27" t="s">
        <v>33</v>
      </c>
      <c r="C73" s="27" t="s">
        <v>33</v>
      </c>
      <c r="D73" s="23">
        <v>2021</v>
      </c>
      <c r="E73" s="23">
        <v>2</v>
      </c>
      <c r="F73" s="23"/>
      <c r="G73" s="23"/>
      <c r="H73" s="23"/>
      <c r="I73" s="23" t="s">
        <v>238</v>
      </c>
      <c r="J73" s="50" t="s">
        <v>239</v>
      </c>
      <c r="K73" s="4">
        <v>33</v>
      </c>
      <c r="L73" s="14">
        <f t="shared" si="4"/>
        <v>66</v>
      </c>
      <c r="M73" s="4">
        <v>66</v>
      </c>
      <c r="N73" s="14">
        <f t="shared" si="5"/>
        <v>132</v>
      </c>
      <c r="O73" s="4"/>
    </row>
    <row r="74" spans="1:15" ht="92.55" customHeight="1">
      <c r="A74" s="23" t="s">
        <v>178</v>
      </c>
      <c r="B74" s="12" t="s">
        <v>179</v>
      </c>
      <c r="C74" s="12"/>
      <c r="D74" s="5">
        <v>2001</v>
      </c>
      <c r="E74" s="5">
        <v>2</v>
      </c>
      <c r="F74" s="5"/>
      <c r="G74" s="5"/>
      <c r="H74" s="5"/>
      <c r="I74" s="23" t="s">
        <v>159</v>
      </c>
      <c r="J74" s="14"/>
      <c r="K74" s="4">
        <v>45</v>
      </c>
      <c r="L74" s="14">
        <f t="shared" si="4"/>
        <v>90</v>
      </c>
      <c r="M74" s="4">
        <v>100</v>
      </c>
      <c r="N74" s="14">
        <f t="shared" si="5"/>
        <v>200</v>
      </c>
    </row>
    <row r="75" spans="1:15" ht="79.5" customHeight="1">
      <c r="A75" s="23" t="s">
        <v>178</v>
      </c>
      <c r="B75" s="12" t="s">
        <v>180</v>
      </c>
      <c r="C75" s="12"/>
      <c r="D75" s="5">
        <v>2001</v>
      </c>
      <c r="E75" s="5">
        <v>1</v>
      </c>
      <c r="F75" s="5"/>
      <c r="G75" s="5"/>
      <c r="H75" s="5"/>
      <c r="I75" s="23" t="s">
        <v>159</v>
      </c>
      <c r="J75" s="14" t="s">
        <v>181</v>
      </c>
      <c r="K75" s="4">
        <v>45</v>
      </c>
      <c r="L75" s="14">
        <f t="shared" si="4"/>
        <v>45</v>
      </c>
      <c r="M75" s="4">
        <v>100</v>
      </c>
      <c r="N75" s="14">
        <f t="shared" si="5"/>
        <v>100</v>
      </c>
    </row>
    <row r="76" spans="1:15" ht="58.05" customHeight="1">
      <c r="A76" s="23" t="s">
        <v>166</v>
      </c>
      <c r="B76" s="27" t="s">
        <v>167</v>
      </c>
      <c r="C76" s="27" t="s">
        <v>8</v>
      </c>
      <c r="D76" s="23">
        <v>2012</v>
      </c>
      <c r="E76" s="23">
        <v>10</v>
      </c>
      <c r="F76" s="23">
        <v>95</v>
      </c>
      <c r="G76" s="23">
        <v>2024</v>
      </c>
      <c r="H76" s="23">
        <v>2035</v>
      </c>
      <c r="I76" s="23" t="s">
        <v>85</v>
      </c>
      <c r="J76" s="19" t="s">
        <v>197</v>
      </c>
      <c r="K76" s="26">
        <v>4</v>
      </c>
      <c r="L76" s="21">
        <f t="shared" si="4"/>
        <v>40</v>
      </c>
      <c r="M76" s="26">
        <v>5</v>
      </c>
      <c r="N76" s="21">
        <f t="shared" si="5"/>
        <v>50</v>
      </c>
      <c r="O76" s="26"/>
    </row>
    <row r="77" spans="1:15" ht="108.45" customHeight="1">
      <c r="A77" s="23" t="s">
        <v>166</v>
      </c>
      <c r="B77" s="12" t="s">
        <v>174</v>
      </c>
      <c r="C77" s="12" t="s">
        <v>31</v>
      </c>
      <c r="D77" s="5">
        <v>2013</v>
      </c>
      <c r="E77" s="5">
        <v>12</v>
      </c>
      <c r="F77" s="5"/>
      <c r="G77" s="5">
        <v>2030</v>
      </c>
      <c r="H77" s="5">
        <v>2040</v>
      </c>
      <c r="I77" s="23" t="s">
        <v>85</v>
      </c>
      <c r="J77" s="20" t="s">
        <v>186</v>
      </c>
      <c r="K77" s="4">
        <v>40</v>
      </c>
      <c r="L77" s="14">
        <f t="shared" si="4"/>
        <v>480</v>
      </c>
      <c r="M77" s="4">
        <v>70</v>
      </c>
      <c r="N77" s="14">
        <f t="shared" si="5"/>
        <v>840</v>
      </c>
    </row>
    <row r="78" spans="1:15" ht="42.45" customHeight="1">
      <c r="A78" s="23" t="s">
        <v>121</v>
      </c>
      <c r="B78" s="27" t="s">
        <v>135</v>
      </c>
      <c r="C78" s="27" t="s">
        <v>31</v>
      </c>
      <c r="D78" s="23">
        <v>2009</v>
      </c>
      <c r="E78" s="23">
        <v>6</v>
      </c>
      <c r="F78" s="23">
        <v>96</v>
      </c>
      <c r="G78" s="23">
        <v>2029</v>
      </c>
      <c r="H78" s="23">
        <v>2040</v>
      </c>
      <c r="I78" s="23" t="s">
        <v>86</v>
      </c>
      <c r="J78" s="22" t="s">
        <v>196</v>
      </c>
      <c r="K78" s="26"/>
      <c r="L78" s="21">
        <f t="shared" si="4"/>
        <v>0</v>
      </c>
      <c r="M78" s="26"/>
      <c r="N78" s="21" t="str">
        <f t="shared" si="5"/>
        <v/>
      </c>
      <c r="O78" s="34"/>
    </row>
    <row r="79" spans="1:15" ht="21.45" customHeight="1">
      <c r="A79" s="23" t="s">
        <v>121</v>
      </c>
      <c r="B79" s="12" t="s">
        <v>136</v>
      </c>
      <c r="C79" s="12" t="s">
        <v>44</v>
      </c>
      <c r="D79" s="5">
        <v>2012</v>
      </c>
      <c r="E79" s="5">
        <v>3</v>
      </c>
      <c r="F79" s="5">
        <v>95</v>
      </c>
      <c r="G79" s="5">
        <v>2023</v>
      </c>
      <c r="H79" s="5">
        <v>2044</v>
      </c>
      <c r="I79" s="23" t="s">
        <v>86</v>
      </c>
      <c r="J79" s="33" t="s">
        <v>203</v>
      </c>
      <c r="K79" s="4">
        <v>33</v>
      </c>
      <c r="L79" s="14">
        <f t="shared" si="4"/>
        <v>99</v>
      </c>
      <c r="M79" s="4">
        <v>66</v>
      </c>
      <c r="N79" s="14">
        <f t="shared" si="5"/>
        <v>198</v>
      </c>
    </row>
    <row r="80" spans="1:15" ht="82.95" customHeight="1">
      <c r="A80" s="23" t="s">
        <v>121</v>
      </c>
      <c r="B80" s="12" t="s">
        <v>177</v>
      </c>
      <c r="C80" s="12" t="s">
        <v>31</v>
      </c>
      <c r="D80" s="5">
        <v>2019</v>
      </c>
      <c r="E80" s="5">
        <v>8</v>
      </c>
      <c r="F80" s="5">
        <v>96</v>
      </c>
      <c r="G80" s="5">
        <v>2025</v>
      </c>
      <c r="H80" s="5">
        <v>2044</v>
      </c>
      <c r="I80" s="23" t="s">
        <v>86</v>
      </c>
      <c r="J80" s="32" t="s">
        <v>202</v>
      </c>
      <c r="K80" s="4">
        <v>25</v>
      </c>
      <c r="L80" s="14">
        <f t="shared" si="4"/>
        <v>200</v>
      </c>
      <c r="M80" s="4">
        <v>30</v>
      </c>
      <c r="N80" s="14">
        <f t="shared" si="5"/>
        <v>240</v>
      </c>
    </row>
    <row r="81" spans="1:15" ht="82.95" customHeight="1">
      <c r="A81" s="23" t="s">
        <v>87</v>
      </c>
      <c r="B81" s="12" t="s">
        <v>88</v>
      </c>
      <c r="C81" s="12" t="s">
        <v>44</v>
      </c>
      <c r="D81" s="5">
        <v>2006</v>
      </c>
      <c r="E81" s="5">
        <v>6</v>
      </c>
      <c r="F81" s="5">
        <v>95</v>
      </c>
      <c r="G81" s="5">
        <v>2025</v>
      </c>
      <c r="H81" s="5">
        <v>2030</v>
      </c>
      <c r="I81" s="23" t="s">
        <v>83</v>
      </c>
      <c r="J81" s="31" t="s">
        <v>204</v>
      </c>
      <c r="K81" s="4">
        <v>1</v>
      </c>
      <c r="L81" s="14">
        <f t="shared" si="4"/>
        <v>6</v>
      </c>
      <c r="M81" s="4">
        <v>55</v>
      </c>
      <c r="N81" s="14">
        <f t="shared" si="5"/>
        <v>330</v>
      </c>
    </row>
    <row r="82" spans="1:15" ht="96" customHeight="1">
      <c r="A82" s="23" t="s">
        <v>87</v>
      </c>
      <c r="B82" s="12" t="s">
        <v>88</v>
      </c>
      <c r="C82" s="12" t="s">
        <v>44</v>
      </c>
      <c r="D82" s="5">
        <v>2010</v>
      </c>
      <c r="E82" s="5">
        <v>6</v>
      </c>
      <c r="F82" s="5">
        <v>95</v>
      </c>
      <c r="G82" s="5">
        <v>2023</v>
      </c>
      <c r="H82" s="5">
        <v>2032</v>
      </c>
      <c r="I82" s="23" t="s">
        <v>83</v>
      </c>
      <c r="J82" s="33" t="s">
        <v>205</v>
      </c>
      <c r="K82" s="4">
        <v>18</v>
      </c>
      <c r="L82" s="14">
        <f t="shared" si="4"/>
        <v>108</v>
      </c>
      <c r="M82" s="4">
        <v>55</v>
      </c>
      <c r="N82" s="14">
        <f t="shared" si="5"/>
        <v>330</v>
      </c>
      <c r="O82" s="23"/>
    </row>
    <row r="83" spans="1:15" ht="21.45" customHeight="1">
      <c r="A83" s="23" t="s">
        <v>87</v>
      </c>
      <c r="B83" s="12" t="s">
        <v>89</v>
      </c>
      <c r="C83" s="12" t="s">
        <v>44</v>
      </c>
      <c r="D83" s="5">
        <v>2012</v>
      </c>
      <c r="E83" s="5">
        <v>2</v>
      </c>
      <c r="F83" s="5">
        <v>98</v>
      </c>
      <c r="G83" s="5">
        <v>2025</v>
      </c>
      <c r="H83" s="5">
        <v>2040</v>
      </c>
      <c r="I83" s="23" t="s">
        <v>86</v>
      </c>
      <c r="J83" s="22" t="s">
        <v>189</v>
      </c>
      <c r="K83" s="4">
        <v>250</v>
      </c>
      <c r="L83" s="14">
        <f t="shared" si="4"/>
        <v>500</v>
      </c>
      <c r="M83" s="4">
        <v>350</v>
      </c>
      <c r="N83" s="14">
        <f t="shared" si="5"/>
        <v>700</v>
      </c>
      <c r="O83" s="26"/>
    </row>
    <row r="84" spans="1:15" ht="65.55" customHeight="1">
      <c r="A84" s="23" t="s">
        <v>87</v>
      </c>
      <c r="B84" s="12" t="s">
        <v>88</v>
      </c>
      <c r="C84" s="12" t="s">
        <v>44</v>
      </c>
      <c r="D84" s="5">
        <v>2018</v>
      </c>
      <c r="E84" s="5">
        <v>15</v>
      </c>
      <c r="F84" s="5"/>
      <c r="G84" s="5"/>
      <c r="H84" s="5"/>
      <c r="I84" s="23" t="s">
        <v>83</v>
      </c>
      <c r="J84" s="18" t="s">
        <v>184</v>
      </c>
      <c r="K84" s="4">
        <v>27</v>
      </c>
      <c r="L84" s="14">
        <f t="shared" si="4"/>
        <v>405</v>
      </c>
      <c r="M84" s="4">
        <v>45</v>
      </c>
      <c r="N84" s="14">
        <f t="shared" si="5"/>
        <v>675</v>
      </c>
      <c r="O84" s="26"/>
    </row>
    <row r="85" spans="1:15" ht="82.5" customHeight="1">
      <c r="A85" s="23" t="s">
        <v>87</v>
      </c>
      <c r="B85" s="23" t="s">
        <v>88</v>
      </c>
      <c r="C85" s="23" t="s">
        <v>44</v>
      </c>
      <c r="D85" s="23"/>
      <c r="E85" s="23">
        <v>4</v>
      </c>
      <c r="F85" s="23"/>
      <c r="G85" s="23"/>
      <c r="H85" s="23"/>
      <c r="I85" s="23" t="s">
        <v>83</v>
      </c>
      <c r="J85" s="14" t="s">
        <v>185</v>
      </c>
      <c r="K85" s="4">
        <v>25</v>
      </c>
      <c r="L85" s="14">
        <f t="shared" si="4"/>
        <v>100</v>
      </c>
      <c r="M85" s="4">
        <v>35</v>
      </c>
      <c r="N85" s="14">
        <f t="shared" si="5"/>
        <v>140</v>
      </c>
    </row>
    <row r="86" spans="1:15" ht="261" customHeight="1">
      <c r="A86" s="23" t="s">
        <v>119</v>
      </c>
      <c r="B86" s="23" t="s">
        <v>126</v>
      </c>
      <c r="C86" s="23" t="s">
        <v>47</v>
      </c>
      <c r="D86" s="23">
        <v>2015</v>
      </c>
      <c r="E86" s="23">
        <v>6</v>
      </c>
      <c r="F86" s="23">
        <v>97</v>
      </c>
      <c r="G86" s="23">
        <v>2025</v>
      </c>
      <c r="H86" s="23">
        <v>2040</v>
      </c>
      <c r="I86" s="23" t="s">
        <v>175</v>
      </c>
      <c r="J86" s="37" t="s">
        <v>206</v>
      </c>
      <c r="K86" s="23">
        <v>60</v>
      </c>
      <c r="L86" s="24">
        <f t="shared" si="4"/>
        <v>360</v>
      </c>
      <c r="M86" s="23">
        <v>150</v>
      </c>
      <c r="N86" s="24">
        <f t="shared" si="5"/>
        <v>900</v>
      </c>
      <c r="O86" s="26"/>
    </row>
    <row r="87" spans="1:15" ht="94.05" customHeight="1">
      <c r="A87" s="23" t="s">
        <v>119</v>
      </c>
      <c r="B87" s="12" t="s">
        <v>127</v>
      </c>
      <c r="C87" s="12"/>
      <c r="D87" s="5">
        <v>2016</v>
      </c>
      <c r="E87" s="5">
        <v>2</v>
      </c>
      <c r="F87" s="5"/>
      <c r="G87" s="5"/>
      <c r="H87" s="5"/>
      <c r="I87" s="23" t="s">
        <v>175</v>
      </c>
      <c r="J87" s="14"/>
      <c r="K87" s="4"/>
      <c r="L87" s="14">
        <f t="shared" si="4"/>
        <v>0</v>
      </c>
      <c r="M87" s="4"/>
      <c r="N87" s="14" t="str">
        <f t="shared" si="5"/>
        <v/>
      </c>
    </row>
    <row r="88" spans="1:15" ht="151.94999999999999" customHeight="1">
      <c r="A88" s="23" t="s">
        <v>119</v>
      </c>
      <c r="B88" s="12" t="s">
        <v>125</v>
      </c>
      <c r="C88" s="12" t="s">
        <v>8</v>
      </c>
      <c r="D88" s="5">
        <v>2017</v>
      </c>
      <c r="E88" s="5">
        <v>1</v>
      </c>
      <c r="F88" s="5"/>
      <c r="G88" s="5"/>
      <c r="H88" s="5"/>
      <c r="I88" s="23" t="s">
        <v>175</v>
      </c>
      <c r="J88" s="14"/>
      <c r="K88" s="4"/>
      <c r="L88" s="14">
        <f t="shared" si="4"/>
        <v>0</v>
      </c>
      <c r="M88" s="4"/>
      <c r="N88" s="14" t="str">
        <f t="shared" si="5"/>
        <v/>
      </c>
    </row>
    <row r="89" spans="1:15" ht="68.55" customHeight="1">
      <c r="A89" s="23" t="s">
        <v>119</v>
      </c>
      <c r="B89" s="23" t="s">
        <v>126</v>
      </c>
      <c r="C89" s="23"/>
      <c r="D89" s="23">
        <v>2018</v>
      </c>
      <c r="E89" s="23">
        <v>2</v>
      </c>
      <c r="F89" s="23">
        <v>98</v>
      </c>
      <c r="G89" s="23">
        <v>2028</v>
      </c>
      <c r="H89" s="23">
        <v>2048</v>
      </c>
      <c r="I89" s="23" t="s">
        <v>175</v>
      </c>
      <c r="J89" s="38" t="s">
        <v>207</v>
      </c>
      <c r="K89" s="23"/>
      <c r="L89" s="24">
        <f t="shared" si="4"/>
        <v>0</v>
      </c>
      <c r="M89" s="23">
        <v>200</v>
      </c>
      <c r="N89" s="24">
        <f t="shared" si="5"/>
        <v>400</v>
      </c>
      <c r="O89" s="23"/>
    </row>
    <row r="90" spans="1:15" ht="21.45" customHeight="1">
      <c r="A90" s="23"/>
      <c r="B90" s="12"/>
      <c r="C90" s="12"/>
      <c r="D90" s="5"/>
      <c r="E90" s="5"/>
      <c r="F90" s="5"/>
      <c r="G90" s="5"/>
      <c r="H90" s="5"/>
      <c r="I90" s="23"/>
      <c r="J90" s="14"/>
      <c r="K90" s="4"/>
      <c r="L90" s="14" t="str">
        <f t="shared" si="4"/>
        <v/>
      </c>
      <c r="M90" s="4"/>
      <c r="N90" s="14" t="str">
        <f t="shared" si="5"/>
        <v/>
      </c>
    </row>
    <row r="91" spans="1:15" ht="21.45" customHeight="1">
      <c r="A91" s="23"/>
      <c r="B91" s="12"/>
      <c r="C91" s="12"/>
      <c r="D91" s="5"/>
      <c r="E91" s="5"/>
      <c r="F91" s="5"/>
      <c r="G91" s="5"/>
      <c r="H91" s="5"/>
      <c r="I91" s="23"/>
      <c r="J91" s="14"/>
      <c r="K91" s="4"/>
      <c r="L91" s="14" t="str">
        <f t="shared" si="4"/>
        <v/>
      </c>
      <c r="M91" s="4"/>
      <c r="N91" s="14" t="str">
        <f t="shared" si="5"/>
        <v/>
      </c>
    </row>
    <row r="92" spans="1:15" ht="21.45" customHeight="1">
      <c r="A92" s="23"/>
      <c r="B92" s="12"/>
      <c r="C92" s="12"/>
      <c r="D92" s="5"/>
      <c r="E92" s="5"/>
      <c r="F92" s="5"/>
      <c r="G92" s="5"/>
      <c r="H92" s="5"/>
      <c r="I92" s="23"/>
      <c r="J92" s="14"/>
      <c r="K92" s="4"/>
      <c r="L92" s="14" t="str">
        <f t="shared" si="4"/>
        <v/>
      </c>
      <c r="M92" s="4"/>
      <c r="N92" s="14" t="str">
        <f t="shared" si="5"/>
        <v/>
      </c>
    </row>
    <row r="93" spans="1:15" ht="21.45" customHeight="1">
      <c r="A93" s="23"/>
      <c r="B93" s="12"/>
      <c r="C93" s="12"/>
      <c r="D93" s="5"/>
      <c r="E93" s="5"/>
      <c r="F93" s="5"/>
      <c r="G93" s="5"/>
      <c r="H93" s="5"/>
      <c r="I93" s="23"/>
      <c r="J93" s="14"/>
      <c r="K93" s="4"/>
      <c r="L93" s="14" t="str">
        <f t="shared" si="4"/>
        <v/>
      </c>
      <c r="M93" s="4"/>
      <c r="N93" s="14" t="str">
        <f t="shared" si="5"/>
        <v/>
      </c>
    </row>
    <row r="94" spans="1:15" ht="21.45" customHeight="1">
      <c r="A94" s="23"/>
      <c r="B94" s="12"/>
      <c r="C94" s="12"/>
      <c r="D94" s="5"/>
      <c r="E94" s="5"/>
      <c r="F94" s="5"/>
      <c r="G94" s="5"/>
      <c r="H94" s="5"/>
      <c r="I94" s="23"/>
      <c r="J94" s="14"/>
      <c r="K94" s="4"/>
      <c r="L94" s="14" t="str">
        <f t="shared" si="4"/>
        <v/>
      </c>
      <c r="M94" s="4"/>
      <c r="N94" s="14" t="str">
        <f t="shared" si="5"/>
        <v/>
      </c>
    </row>
    <row r="95" spans="1:15" ht="21.45" customHeight="1">
      <c r="A95" s="23"/>
      <c r="B95" s="12"/>
      <c r="C95" s="12"/>
      <c r="D95" s="5"/>
      <c r="E95" s="5"/>
      <c r="F95" s="5"/>
      <c r="G95" s="5"/>
      <c r="H95" s="5"/>
      <c r="I95" s="23"/>
      <c r="J95" s="14"/>
      <c r="K95" s="4"/>
      <c r="L95" s="14" t="str">
        <f t="shared" si="4"/>
        <v/>
      </c>
      <c r="M95" s="4"/>
      <c r="N95" s="14" t="str">
        <f t="shared" si="5"/>
        <v/>
      </c>
    </row>
    <row r="96" spans="1:15" ht="21.45" customHeight="1">
      <c r="A96" s="23"/>
      <c r="B96" s="12"/>
      <c r="C96" s="12"/>
      <c r="D96" s="5"/>
      <c r="E96" s="5"/>
      <c r="F96" s="5"/>
      <c r="G96" s="5"/>
      <c r="H96" s="5"/>
      <c r="I96" s="23"/>
      <c r="J96" s="14"/>
      <c r="K96" s="4"/>
      <c r="L96" s="14" t="str">
        <f t="shared" si="4"/>
        <v/>
      </c>
      <c r="M96" s="4"/>
      <c r="N96" s="14" t="str">
        <f t="shared" si="5"/>
        <v/>
      </c>
    </row>
    <row r="97" spans="1:14" ht="21.45" customHeight="1">
      <c r="A97" s="23"/>
      <c r="B97" s="12"/>
      <c r="C97" s="12"/>
      <c r="D97" s="5"/>
      <c r="E97" s="5"/>
      <c r="F97" s="5"/>
      <c r="G97" s="5"/>
      <c r="H97" s="5"/>
      <c r="I97" s="23"/>
      <c r="J97" s="14"/>
      <c r="K97" s="4"/>
      <c r="L97" s="14" t="str">
        <f t="shared" si="4"/>
        <v/>
      </c>
      <c r="M97" s="4"/>
      <c r="N97" s="14" t="str">
        <f t="shared" si="5"/>
        <v/>
      </c>
    </row>
    <row r="98" spans="1:14" ht="21.45" customHeight="1">
      <c r="A98" s="23"/>
      <c r="B98" s="12"/>
      <c r="C98" s="12"/>
      <c r="D98" s="5"/>
      <c r="E98" s="5"/>
      <c r="F98" s="5"/>
      <c r="G98" s="5"/>
      <c r="H98" s="5"/>
      <c r="I98" s="23"/>
      <c r="J98" s="14"/>
      <c r="K98" s="4"/>
      <c r="L98" s="14" t="str">
        <f t="shared" si="4"/>
        <v/>
      </c>
      <c r="M98" s="4"/>
      <c r="N98" s="14" t="str">
        <f t="shared" si="5"/>
        <v/>
      </c>
    </row>
    <row r="99" spans="1:14" ht="21.45" customHeight="1">
      <c r="A99" s="23"/>
      <c r="B99" s="12"/>
      <c r="C99" s="12"/>
      <c r="D99" s="5"/>
      <c r="E99" s="5"/>
      <c r="F99" s="5"/>
      <c r="G99" s="5"/>
      <c r="H99" s="5"/>
      <c r="I99" s="23"/>
      <c r="J99" s="14"/>
      <c r="K99" s="4"/>
      <c r="L99" s="14" t="str">
        <f t="shared" si="4"/>
        <v/>
      </c>
      <c r="M99" s="4"/>
      <c r="N99" s="14" t="str">
        <f t="shared" si="5"/>
        <v/>
      </c>
    </row>
    <row r="100" spans="1:14">
      <c r="A100" s="23"/>
      <c r="B100" s="12"/>
      <c r="C100" s="12"/>
      <c r="J100" s="17"/>
      <c r="L100" s="14" t="str">
        <f t="shared" si="4"/>
        <v/>
      </c>
      <c r="N100" s="14" t="str">
        <f t="shared" si="5"/>
        <v/>
      </c>
    </row>
    <row r="101" spans="1:14">
      <c r="A101" t="s">
        <v>19</v>
      </c>
      <c r="D101" s="3" t="s">
        <v>19</v>
      </c>
      <c r="H101" s="3" t="s">
        <v>19</v>
      </c>
      <c r="L101" t="s">
        <v>19</v>
      </c>
      <c r="N101" t="s">
        <v>19</v>
      </c>
    </row>
  </sheetData>
  <sheetProtection selectLockedCells="1"/>
  <sortState xmlns:xlrd2="http://schemas.microsoft.com/office/spreadsheetml/2017/richdata2" ref="A5:O100">
    <sortCondition ref="A5:A100"/>
  </sortState>
  <hyperlinks>
    <hyperlink ref="J89" r:id="rId1" display="https://youtu.be/ZHWtHj2Il1Q        HH Very bright, youthful, deep purple/red colour, and a lovely bouquet of blackberry and cassis, oak making a subtle contribution, the palate intense and powerful, full-bodied but not big or anywhere near a blockbuster, the tannins abundant and supple, fine-grained and persistent for the entire palate. An utterly gorgeous wine, cabernet characteristics well in evidence, but already complex, profound and multi-layered. Wonderful flavour and precision. Prodigious length, seamless harmony and great potential - although it's a great drink now. 16 JUL 2020" xr:uid="{95101143-D2E6-40CD-A1E0-41068F3C1B62}"/>
  </hyperlinks>
  <pageMargins left="0.7" right="0.7" top="0.75" bottom="0.75" header="0.3" footer="0.3"/>
  <pageSetup paperSize="9" orientation="portrait" r:id="rId2"/>
  <drawing r:id="rId3"/>
  <legacyDrawing r:id="rId4"/>
  <mc:AlternateContent xmlns:mc="http://schemas.openxmlformats.org/markup-compatibility/2006">
    <mc:Choice Requires="x14">
      <controls>
        <mc:AlternateContent xmlns:mc="http://schemas.openxmlformats.org/markup-compatibility/2006">
          <mc:Choice Requires="x14">
            <control shapeId="1047" r:id="rId5" name="Button 23">
              <controlPr defaultSize="0" print="0" autoFill="0" autoPict="0" macro="[0]!Winery">
                <anchor moveWithCells="1">
                  <from>
                    <xdr:col>0</xdr:col>
                    <xdr:colOff>30480</xdr:colOff>
                    <xdr:row>0</xdr:row>
                    <xdr:rowOff>182880</xdr:rowOff>
                  </from>
                  <to>
                    <xdr:col>1</xdr:col>
                    <xdr:colOff>7620</xdr:colOff>
                    <xdr:row>2</xdr:row>
                    <xdr:rowOff>0</xdr:rowOff>
                  </to>
                </anchor>
              </controlPr>
            </control>
          </mc:Choice>
        </mc:AlternateContent>
        <mc:AlternateContent xmlns:mc="http://schemas.openxmlformats.org/markup-compatibility/2006">
          <mc:Choice Requires="x14">
            <control shapeId="1049" r:id="rId6" name="Button 25">
              <controlPr defaultSize="0" print="0" autoFill="0" autoPict="0" macro="[0]!Vintage">
                <anchor moveWithCells="1">
                  <from>
                    <xdr:col>3</xdr:col>
                    <xdr:colOff>15240</xdr:colOff>
                    <xdr:row>1</xdr:row>
                    <xdr:rowOff>7620</xdr:rowOff>
                  </from>
                  <to>
                    <xdr:col>4</xdr:col>
                    <xdr:colOff>7620</xdr:colOff>
                    <xdr:row>2</xdr:row>
                    <xdr:rowOff>53340</xdr:rowOff>
                  </to>
                </anchor>
              </controlPr>
            </control>
          </mc:Choice>
        </mc:AlternateContent>
        <mc:AlternateContent xmlns:mc="http://schemas.openxmlformats.org/markup-compatibility/2006">
          <mc:Choice Requires="x14">
            <control shapeId="1058" r:id="rId7" name="Button 34">
              <controlPr defaultSize="0" print="0" autoFill="0" autoPict="0" macro="[0]!QtyMax">
                <anchor moveWithCells="1">
                  <from>
                    <xdr:col>4</xdr:col>
                    <xdr:colOff>15240</xdr:colOff>
                    <xdr:row>0</xdr:row>
                    <xdr:rowOff>30480</xdr:rowOff>
                  </from>
                  <to>
                    <xdr:col>5</xdr:col>
                    <xdr:colOff>7620</xdr:colOff>
                    <xdr:row>0</xdr:row>
                    <xdr:rowOff>327660</xdr:rowOff>
                  </to>
                </anchor>
              </controlPr>
            </control>
          </mc:Choice>
        </mc:AlternateContent>
        <mc:AlternateContent xmlns:mc="http://schemas.openxmlformats.org/markup-compatibility/2006">
          <mc:Choice Requires="x14">
            <control shapeId="1059" r:id="rId8" name="Button 35">
              <controlPr defaultSize="0" print="0" autoFill="0" autoPict="0" macro="[0]!QtyMin">
                <anchor moveWithCells="1">
                  <from>
                    <xdr:col>4</xdr:col>
                    <xdr:colOff>15240</xdr:colOff>
                    <xdr:row>1</xdr:row>
                    <xdr:rowOff>15240</xdr:rowOff>
                  </from>
                  <to>
                    <xdr:col>5</xdr:col>
                    <xdr:colOff>0</xdr:colOff>
                    <xdr:row>2</xdr:row>
                    <xdr:rowOff>15240</xdr:rowOff>
                  </to>
                </anchor>
              </controlPr>
            </control>
          </mc:Choice>
        </mc:AlternateContent>
        <mc:AlternateContent xmlns:mc="http://schemas.openxmlformats.org/markup-compatibility/2006">
          <mc:Choice Requires="x14">
            <control shapeId="1060" r:id="rId9" name="Button 36">
              <controlPr defaultSize="0" print="0" autoFill="0" autoPict="0" macro="[0]!MaxPoints">
                <anchor moveWithCells="1">
                  <from>
                    <xdr:col>5</xdr:col>
                    <xdr:colOff>7620</xdr:colOff>
                    <xdr:row>0</xdr:row>
                    <xdr:rowOff>15240</xdr:rowOff>
                  </from>
                  <to>
                    <xdr:col>6</xdr:col>
                    <xdr:colOff>22860</xdr:colOff>
                    <xdr:row>0</xdr:row>
                    <xdr:rowOff>327660</xdr:rowOff>
                  </to>
                </anchor>
              </controlPr>
            </control>
          </mc:Choice>
        </mc:AlternateContent>
        <mc:AlternateContent xmlns:mc="http://schemas.openxmlformats.org/markup-compatibility/2006">
          <mc:Choice Requires="x14">
            <control shapeId="1061" r:id="rId10" name="Button 37">
              <controlPr defaultSize="0" print="0" autoFill="0" autoPict="0" macro="[0]!MinPoints">
                <anchor moveWithCells="1">
                  <from>
                    <xdr:col>4</xdr:col>
                    <xdr:colOff>670560</xdr:colOff>
                    <xdr:row>0</xdr:row>
                    <xdr:rowOff>335280</xdr:rowOff>
                  </from>
                  <to>
                    <xdr:col>6</xdr:col>
                    <xdr:colOff>15240</xdr:colOff>
                    <xdr:row>2</xdr:row>
                    <xdr:rowOff>30480</xdr:rowOff>
                  </to>
                </anchor>
              </controlPr>
            </control>
          </mc:Choice>
        </mc:AlternateContent>
        <mc:AlternateContent xmlns:mc="http://schemas.openxmlformats.org/markup-compatibility/2006">
          <mc:Choice Requires="x14">
            <control shapeId="1067" r:id="rId11" name="Button 43">
              <controlPr defaultSize="0" print="0" autoFill="0" autoPict="0" macro="[0]!DrinkOpenWindow">
                <anchor moveWithCells="1">
                  <from>
                    <xdr:col>6</xdr:col>
                    <xdr:colOff>22860</xdr:colOff>
                    <xdr:row>0</xdr:row>
                    <xdr:rowOff>22860</xdr:rowOff>
                  </from>
                  <to>
                    <xdr:col>7</xdr:col>
                    <xdr:colOff>7620</xdr:colOff>
                    <xdr:row>1</xdr:row>
                    <xdr:rowOff>213360</xdr:rowOff>
                  </to>
                </anchor>
              </controlPr>
            </control>
          </mc:Choice>
        </mc:AlternateContent>
        <mc:AlternateContent xmlns:mc="http://schemas.openxmlformats.org/markup-compatibility/2006">
          <mc:Choice Requires="x14">
            <control shapeId="1068" r:id="rId12" name="Button 44">
              <controlPr defaultSize="0" print="0" autoFill="0" autoPict="0" macro="[0]!DrinkCloseWindow">
                <anchor moveWithCells="1">
                  <from>
                    <xdr:col>7</xdr:col>
                    <xdr:colOff>30480</xdr:colOff>
                    <xdr:row>0</xdr:row>
                    <xdr:rowOff>22860</xdr:rowOff>
                  </from>
                  <to>
                    <xdr:col>7</xdr:col>
                    <xdr:colOff>693420</xdr:colOff>
                    <xdr:row>1</xdr:row>
                    <xdr:rowOff>213360</xdr:rowOff>
                  </to>
                </anchor>
              </controlPr>
            </control>
          </mc:Choice>
        </mc:AlternateContent>
        <mc:AlternateContent xmlns:mc="http://schemas.openxmlformats.org/markup-compatibility/2006">
          <mc:Choice Requires="x14">
            <control shapeId="1072" r:id="rId13" name="Button 48">
              <controlPr defaultSize="0" print="0" autoFill="0" autoPict="0" macro="[0]!Region">
                <anchor moveWithCells="1">
                  <from>
                    <xdr:col>8</xdr:col>
                    <xdr:colOff>15240</xdr:colOff>
                    <xdr:row>0</xdr:row>
                    <xdr:rowOff>15240</xdr:rowOff>
                  </from>
                  <to>
                    <xdr:col>9</xdr:col>
                    <xdr:colOff>22860</xdr:colOff>
                    <xdr:row>1</xdr:row>
                    <xdr:rowOff>213360</xdr:rowOff>
                  </to>
                </anchor>
              </controlPr>
            </control>
          </mc:Choice>
        </mc:AlternateContent>
        <mc:AlternateContent xmlns:mc="http://schemas.openxmlformats.org/markup-compatibility/2006">
          <mc:Choice Requires="x14">
            <control shapeId="1073" r:id="rId14" name="Button 49">
              <controlPr defaultSize="0" print="0" autoFill="0" autoPict="0" macro="[0]!Cost">
                <anchor moveWithCells="1">
                  <from>
                    <xdr:col>9</xdr:col>
                    <xdr:colOff>2842260</xdr:colOff>
                    <xdr:row>1</xdr:row>
                    <xdr:rowOff>0</xdr:rowOff>
                  </from>
                  <to>
                    <xdr:col>9</xdr:col>
                    <xdr:colOff>3543300</xdr:colOff>
                    <xdr:row>2</xdr:row>
                    <xdr:rowOff>22860</xdr:rowOff>
                  </to>
                </anchor>
              </controlPr>
            </control>
          </mc:Choice>
        </mc:AlternateContent>
        <mc:AlternateContent xmlns:mc="http://schemas.openxmlformats.org/markup-compatibility/2006">
          <mc:Choice Requires="x14">
            <control shapeId="1074" r:id="rId15" name="Button 50">
              <controlPr defaultSize="0" print="0" autoFill="0" autoPict="0" macro="[0]!Mkt">
                <anchor moveWithCells="1">
                  <from>
                    <xdr:col>11</xdr:col>
                    <xdr:colOff>609600</xdr:colOff>
                    <xdr:row>1</xdr:row>
                    <xdr:rowOff>22860</xdr:rowOff>
                  </from>
                  <to>
                    <xdr:col>13</xdr:col>
                    <xdr:colOff>38100</xdr:colOff>
                    <xdr:row>2</xdr:row>
                    <xdr:rowOff>15240</xdr:rowOff>
                  </to>
                </anchor>
              </controlPr>
            </control>
          </mc:Choice>
        </mc:AlternateContent>
        <mc:AlternateContent xmlns:mc="http://schemas.openxmlformats.org/markup-compatibility/2006">
          <mc:Choice Requires="x14">
            <control shapeId="1076" r:id="rId16" name="Button 52">
              <controlPr defaultSize="0" print="0" autoFill="0" autoPict="0" macro="[0]!LabelSort">
                <anchor moveWithCells="1">
                  <from>
                    <xdr:col>1</xdr:col>
                    <xdr:colOff>15240</xdr:colOff>
                    <xdr:row>1</xdr:row>
                    <xdr:rowOff>22860</xdr:rowOff>
                  </from>
                  <to>
                    <xdr:col>1</xdr:col>
                    <xdr:colOff>609600</xdr:colOff>
                    <xdr:row>1</xdr:row>
                    <xdr:rowOff>251460</xdr:rowOff>
                  </to>
                </anchor>
              </controlPr>
            </control>
          </mc:Choice>
        </mc:AlternateContent>
        <mc:AlternateContent xmlns:mc="http://schemas.openxmlformats.org/markup-compatibility/2006">
          <mc:Choice Requires="x14">
            <control shapeId="1077" r:id="rId17" name="Button 53">
              <controlPr defaultSize="0" print="0" autoFill="0" autoPict="0" macro="[0]!MktVal">
                <anchor moveWithCells="1">
                  <from>
                    <xdr:col>13</xdr:col>
                    <xdr:colOff>99060</xdr:colOff>
                    <xdr:row>0</xdr:row>
                    <xdr:rowOff>335280</xdr:rowOff>
                  </from>
                  <to>
                    <xdr:col>13</xdr:col>
                    <xdr:colOff>670560</xdr:colOff>
                    <xdr:row>2</xdr:row>
                    <xdr:rowOff>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9">
        <x14:dataValidation type="list" allowBlank="1" showInputMessage="1" showErrorMessage="1" xr:uid="{B985899B-C103-463B-BC8F-F70C4B49EDF8}">
          <x14:formula1>
            <xm:f>Data!$H$6:$H$100</xm:f>
          </x14:formula1>
          <xm:sqref>A6</xm:sqref>
        </x14:dataValidation>
        <x14:dataValidation type="list" allowBlank="1" showInputMessage="1" showErrorMessage="1" xr:uid="{F858256E-757B-47F1-8492-CAE1138CD917}">
          <x14:formula1>
            <xm:f>Data!$A$6:$A$30</xm:f>
          </x14:formula1>
          <xm:sqref>I6:I100</xm:sqref>
        </x14:dataValidation>
        <x14:dataValidation type="list" allowBlank="1" showInputMessage="1" showErrorMessage="1" xr:uid="{E70BB0C1-E84E-4501-8497-6F1B64113B5F}">
          <x14:formula1>
            <xm:f>Data!$B$6:$B$50</xm:f>
          </x14:formula1>
          <xm:sqref>D6:D100</xm:sqref>
        </x14:dataValidation>
        <x14:dataValidation type="list" allowBlank="1" showInputMessage="1" showErrorMessage="1" xr:uid="{BEA22B33-D2E7-4B41-ACD6-C50AA03716C7}">
          <x14:formula1>
            <xm:f>Data!$C$6:$C$24</xm:f>
          </x14:formula1>
          <xm:sqref>F6:F100</xm:sqref>
        </x14:dataValidation>
        <x14:dataValidation type="list" allowBlank="1" showInputMessage="1" showErrorMessage="1" xr:uid="{514F12C1-77D5-4C8F-B558-1EE1BC366294}">
          <x14:formula1>
            <xm:f>OFFSET(Data!$K$5,0,MATCH(A6,Data!$K$4:$BA$4,0)-1,COUNTA(OFFSET(Data!$K$5:$K$16,0,MATCH(A6,Data!$K$4:$BA$4,0)-1)))</xm:f>
          </x14:formula1>
          <xm:sqref>B6:B100</xm:sqref>
        </x14:dataValidation>
        <x14:dataValidation type="list" allowBlank="1" showInputMessage="1" showErrorMessage="1" xr:uid="{2AF5BD1E-CFD9-40C1-92F3-EBCC2017365E}">
          <x14:formula1>
            <xm:f>Data!$H$6:$H$49</xm:f>
          </x14:formula1>
          <xm:sqref>A7:A100</xm:sqref>
        </x14:dataValidation>
        <x14:dataValidation type="list" allowBlank="1" showInputMessage="1" showErrorMessage="1" xr:uid="{DF4E77D7-470C-4A35-B9E7-59CC3AAE92B0}">
          <x14:formula1>
            <xm:f>Data!$D$6:$D$48</xm:f>
          </x14:formula1>
          <xm:sqref>G5:G100</xm:sqref>
        </x14:dataValidation>
        <x14:dataValidation type="list" allowBlank="1" showInputMessage="1" showErrorMessage="1" xr:uid="{2C6B705F-5BB1-4235-B9EB-DA0C90359839}">
          <x14:formula1>
            <xm:f>Data!$E$6:$E$46</xm:f>
          </x14:formula1>
          <xm:sqref>H5:H100</xm:sqref>
        </x14:dataValidation>
        <x14:dataValidation type="list" allowBlank="1" showInputMessage="1" showErrorMessage="1" xr:uid="{42B0FBA0-AA1C-4754-A81D-B3E74AECE17A}">
          <x14:formula1>
            <xm:f>Data!$F$6:$F$21</xm:f>
          </x14:formula1>
          <xm:sqref>C5:C100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DD9521-F8E4-4DCD-A803-BC841C148AF1}">
  <sheetPr codeName="Sheet2"/>
  <dimension ref="A1:BB50"/>
  <sheetViews>
    <sheetView topLeftCell="A3" workbookViewId="0">
      <selection activeCell="A30" sqref="A30"/>
    </sheetView>
  </sheetViews>
  <sheetFormatPr defaultRowHeight="14.4"/>
  <cols>
    <col min="1" max="1" width="14.109375" bestFit="1" customWidth="1"/>
    <col min="2" max="2" width="6.77734375" bestFit="1" customWidth="1"/>
    <col min="3" max="3" width="14.109375" customWidth="1"/>
    <col min="4" max="5" width="10.5546875" style="3" customWidth="1"/>
    <col min="6" max="6" width="17" bestFit="1" customWidth="1"/>
    <col min="8" max="8" width="12" customWidth="1"/>
    <col min="11" max="20" width="14.21875" customWidth="1"/>
    <col min="21" max="46" width="14" customWidth="1"/>
  </cols>
  <sheetData>
    <row r="1" spans="1:54" ht="24" customHeight="1"/>
    <row r="4" spans="1:54" ht="29.7" customHeight="1">
      <c r="A4" t="s">
        <v>27</v>
      </c>
      <c r="B4" t="s">
        <v>15</v>
      </c>
      <c r="C4" t="s">
        <v>72</v>
      </c>
      <c r="D4" s="3" t="s">
        <v>149</v>
      </c>
      <c r="E4" s="3" t="s">
        <v>150</v>
      </c>
      <c r="F4" t="s">
        <v>43</v>
      </c>
      <c r="H4" t="s">
        <v>0</v>
      </c>
      <c r="K4" t="str">
        <f>H6</f>
        <v>Penfolds</v>
      </c>
      <c r="L4" t="str">
        <f>H7</f>
        <v>Lake's Folly</v>
      </c>
      <c r="M4" t="str">
        <f>H8</f>
        <v>Cullen's</v>
      </c>
      <c r="N4" t="str">
        <f>H9</f>
        <v>Vasse Felix</v>
      </c>
      <c r="O4" t="str">
        <f>H10</f>
        <v>Tyrrell's</v>
      </c>
      <c r="P4" t="str">
        <f>H11</f>
        <v>Giaconda</v>
      </c>
      <c r="Q4" t="str">
        <f>H12</f>
        <v>Clonakilla</v>
      </c>
      <c r="R4" t="str">
        <f>H13</f>
        <v>Mount Mary</v>
      </c>
      <c r="S4" t="str">
        <f>H14</f>
        <v>Grosset</v>
      </c>
      <c r="T4" t="str">
        <f>H15</f>
        <v>Mesh</v>
      </c>
      <c r="U4" t="str">
        <f>H16</f>
        <v>Seppelts</v>
      </c>
      <c r="V4" t="str">
        <f>H17</f>
        <v>Moss Wood</v>
      </c>
      <c r="W4" t="str">
        <f>H18</f>
        <v>Forest Hill</v>
      </c>
      <c r="X4" t="str">
        <f>H19</f>
        <v>Test Winery</v>
      </c>
      <c r="Y4" t="str">
        <f>H20</f>
        <v>Cape Mentelle</v>
      </c>
      <c r="Z4" t="str">
        <f>H21</f>
        <v>Mount Langi</v>
      </c>
      <c r="AA4" t="str">
        <f>H22</f>
        <v>Yalumba</v>
      </c>
      <c r="AB4" t="str">
        <f>H23</f>
        <v>Brokenwood</v>
      </c>
      <c r="AC4" t="str">
        <f>$H24</f>
        <v>Petaluma</v>
      </c>
      <c r="AD4" t="str">
        <f>$H25</f>
        <v>Yarra Yerring</v>
      </c>
      <c r="AE4" t="str">
        <f>$H26</f>
        <v>Henschke</v>
      </c>
      <c r="AF4" t="str">
        <f>$H27</f>
        <v>Wynns</v>
      </c>
      <c r="AG4" t="str">
        <f>$H28</f>
        <v>See Saw</v>
      </c>
      <c r="AH4" t="str">
        <f>$H29</f>
        <v>Mount Pleasant</v>
      </c>
      <c r="AI4" t="str">
        <f>$H30</f>
        <v>John Duval</v>
      </c>
      <c r="AJ4" t="str">
        <f>$H31</f>
        <v>Orlando</v>
      </c>
      <c r="AK4" t="str">
        <f>$H32</f>
        <v>Wirra Wirra</v>
      </c>
      <c r="AL4" t="str">
        <f>$H33</f>
        <v>Pooley</v>
      </c>
      <c r="AM4" t="str">
        <f>$H34</f>
        <v>Duke's</v>
      </c>
      <c r="AN4" t="str">
        <f>$H35</f>
        <v>Wendowree</v>
      </c>
      <c r="AO4" t="str">
        <f>$H37</f>
        <v>Tolpuddle</v>
      </c>
      <c r="AP4" t="str">
        <f>$H38</f>
        <v>Weingut Bernhard</v>
      </c>
      <c r="AQ4" t="str">
        <f>$H39</f>
        <v>O'Leary Walker</v>
      </c>
      <c r="AR4" t="str">
        <f>$H40</f>
        <v>Q</v>
      </c>
      <c r="AS4" t="str">
        <f>$H41</f>
        <v>R</v>
      </c>
      <c r="AT4" t="str">
        <f>$H42</f>
        <v xml:space="preserve">S </v>
      </c>
      <c r="AU4" t="str">
        <f>$H43</f>
        <v xml:space="preserve">T </v>
      </c>
      <c r="AV4" t="str">
        <f>$H44</f>
        <v>U</v>
      </c>
      <c r="AW4" t="str">
        <f>$H45</f>
        <v xml:space="preserve">V </v>
      </c>
      <c r="AX4" t="str">
        <f>$H46</f>
        <v>W</v>
      </c>
      <c r="AY4" t="str">
        <f>$H47</f>
        <v>X</v>
      </c>
      <c r="AZ4" t="str">
        <f>$H48</f>
        <v xml:space="preserve">Y </v>
      </c>
      <c r="BA4" t="str">
        <f>$H49</f>
        <v>Z</v>
      </c>
      <c r="BB4" t="s">
        <v>105</v>
      </c>
    </row>
    <row r="5" spans="1:54" ht="24" customHeight="1">
      <c r="K5" s="2">
        <v>389</v>
      </c>
      <c r="L5" s="1" t="s">
        <v>7</v>
      </c>
      <c r="M5" s="1" t="s">
        <v>11</v>
      </c>
      <c r="N5" s="1" t="s">
        <v>31</v>
      </c>
      <c r="O5" s="1" t="s">
        <v>13</v>
      </c>
      <c r="P5" s="1" t="s">
        <v>36</v>
      </c>
      <c r="Q5" s="1" t="s">
        <v>24</v>
      </c>
      <c r="R5" s="1" t="s">
        <v>23</v>
      </c>
      <c r="S5" s="1" t="s">
        <v>39</v>
      </c>
      <c r="T5" s="1" t="s">
        <v>33</v>
      </c>
      <c r="U5" s="1" t="s">
        <v>55</v>
      </c>
      <c r="V5" s="1" t="s">
        <v>59</v>
      </c>
      <c r="W5" s="1" t="s">
        <v>62</v>
      </c>
      <c r="X5" s="1" t="s">
        <v>170</v>
      </c>
      <c r="Y5" s="1" t="s">
        <v>7</v>
      </c>
      <c r="Z5" s="1" t="s">
        <v>70</v>
      </c>
      <c r="AA5" s="1" t="s">
        <v>88</v>
      </c>
      <c r="AB5" s="1" t="s">
        <v>8</v>
      </c>
      <c r="AC5" s="1" t="s">
        <v>138</v>
      </c>
      <c r="AD5" s="1" t="s">
        <v>125</v>
      </c>
      <c r="AE5" s="1" t="s">
        <v>123</v>
      </c>
      <c r="AF5" s="1" t="s">
        <v>122</v>
      </c>
      <c r="AG5" s="1" t="s">
        <v>144</v>
      </c>
      <c r="AH5" s="1" t="s">
        <v>147</v>
      </c>
      <c r="AI5" s="1" t="s">
        <v>156</v>
      </c>
      <c r="AJ5" s="1" t="s">
        <v>162</v>
      </c>
      <c r="AK5" s="1" t="s">
        <v>167</v>
      </c>
      <c r="AL5" s="1" t="s">
        <v>33</v>
      </c>
      <c r="AM5" s="1" t="s">
        <v>169</v>
      </c>
      <c r="AN5" s="1" t="s">
        <v>179</v>
      </c>
      <c r="AO5" s="1" t="s">
        <v>199</v>
      </c>
      <c r="AP5" s="1" t="s">
        <v>33</v>
      </c>
      <c r="AQ5" s="1" t="s">
        <v>236</v>
      </c>
      <c r="AR5" s="1"/>
      <c r="AS5" s="1"/>
      <c r="AT5" s="1"/>
      <c r="AU5" s="1"/>
      <c r="AV5" s="1"/>
      <c r="AW5" s="1"/>
      <c r="AX5" s="1"/>
      <c r="AY5" s="1"/>
    </row>
    <row r="6" spans="1:54" ht="26.25" customHeight="1">
      <c r="A6" t="s">
        <v>82</v>
      </c>
      <c r="B6">
        <v>1990</v>
      </c>
      <c r="C6" s="3">
        <v>90</v>
      </c>
      <c r="D6" s="3">
        <v>2023</v>
      </c>
      <c r="E6" s="3">
        <v>2025</v>
      </c>
      <c r="F6" t="s">
        <v>8</v>
      </c>
      <c r="H6" t="s">
        <v>1</v>
      </c>
      <c r="K6" s="2">
        <v>707</v>
      </c>
      <c r="L6" s="1" t="s">
        <v>67</v>
      </c>
      <c r="M6" s="1" t="s">
        <v>12</v>
      </c>
      <c r="N6" s="1" t="s">
        <v>30</v>
      </c>
      <c r="O6" s="1" t="s">
        <v>50</v>
      </c>
      <c r="P6" s="1" t="s">
        <v>37</v>
      </c>
      <c r="Q6" s="1" t="s">
        <v>33</v>
      </c>
      <c r="R6" s="1"/>
      <c r="S6" s="1" t="s">
        <v>40</v>
      </c>
      <c r="T6" s="1"/>
      <c r="U6" s="1" t="s">
        <v>176</v>
      </c>
      <c r="V6" s="1" t="s">
        <v>60</v>
      </c>
      <c r="W6" s="1" t="s">
        <v>63</v>
      </c>
      <c r="X6" s="1" t="s">
        <v>170</v>
      </c>
      <c r="Y6" s="1"/>
      <c r="Z6" s="1" t="s">
        <v>71</v>
      </c>
      <c r="AA6" s="1" t="s">
        <v>89</v>
      </c>
      <c r="AB6" s="1" t="s">
        <v>93</v>
      </c>
      <c r="AC6" s="1" t="s">
        <v>139</v>
      </c>
      <c r="AD6" s="1" t="s">
        <v>126</v>
      </c>
      <c r="AE6" s="1" t="s">
        <v>129</v>
      </c>
      <c r="AF6" s="1" t="s">
        <v>135</v>
      </c>
      <c r="AG6" s="1" t="s">
        <v>145</v>
      </c>
      <c r="AH6" s="1"/>
      <c r="AI6" s="1" t="s">
        <v>157</v>
      </c>
      <c r="AJ6" s="1"/>
      <c r="AK6" s="1" t="s">
        <v>174</v>
      </c>
      <c r="AL6" s="1"/>
      <c r="AM6" s="1"/>
      <c r="AN6" s="1" t="s">
        <v>180</v>
      </c>
      <c r="AO6" s="1"/>
      <c r="AP6" s="1"/>
      <c r="AQ6" s="1"/>
      <c r="AR6" s="1"/>
      <c r="AS6" s="1"/>
      <c r="AT6" s="1"/>
      <c r="AU6" s="1"/>
      <c r="AV6" s="1"/>
      <c r="AW6" s="1"/>
      <c r="AX6" s="1"/>
      <c r="AY6" s="1"/>
    </row>
    <row r="7" spans="1:54" ht="26.25" customHeight="1">
      <c r="A7" t="s">
        <v>83</v>
      </c>
      <c r="B7">
        <v>1991</v>
      </c>
      <c r="C7" s="3">
        <v>91</v>
      </c>
      <c r="D7" s="3">
        <v>2024</v>
      </c>
      <c r="E7" s="3">
        <v>2026</v>
      </c>
      <c r="F7" t="s">
        <v>31</v>
      </c>
      <c r="H7" t="s">
        <v>2</v>
      </c>
      <c r="K7" s="1" t="s">
        <v>6</v>
      </c>
      <c r="L7" s="1" t="s">
        <v>9</v>
      </c>
      <c r="M7" s="1" t="s">
        <v>49</v>
      </c>
      <c r="N7" s="1" t="s">
        <v>32</v>
      </c>
      <c r="O7" s="1" t="s">
        <v>155</v>
      </c>
      <c r="P7" s="1" t="s">
        <v>38</v>
      </c>
      <c r="Q7" s="1" t="s">
        <v>53</v>
      </c>
      <c r="R7" s="1"/>
      <c r="S7" s="1" t="s">
        <v>41</v>
      </c>
      <c r="T7" s="1"/>
      <c r="U7" s="1" t="s">
        <v>57</v>
      </c>
      <c r="V7" s="1"/>
      <c r="W7" s="1"/>
      <c r="X7" s="1"/>
      <c r="Y7" s="1"/>
      <c r="Z7" s="1"/>
      <c r="AA7" s="1" t="s">
        <v>90</v>
      </c>
      <c r="AB7" s="1" t="s">
        <v>164</v>
      </c>
      <c r="AC7" s="1"/>
      <c r="AD7" s="1" t="s">
        <v>127</v>
      </c>
      <c r="AE7" s="1" t="s">
        <v>130</v>
      </c>
      <c r="AF7" s="1" t="s">
        <v>136</v>
      </c>
      <c r="AG7" s="1"/>
      <c r="AH7" s="1"/>
      <c r="AI7" s="1" t="s">
        <v>232</v>
      </c>
      <c r="AJ7" s="1"/>
      <c r="AK7" s="1"/>
      <c r="AL7" s="1"/>
      <c r="AM7" s="1"/>
      <c r="AN7" s="1"/>
      <c r="AO7" s="1"/>
      <c r="AP7" s="1"/>
      <c r="AQ7" s="1"/>
      <c r="AR7" s="1"/>
      <c r="AS7" s="1"/>
      <c r="AT7" s="1"/>
      <c r="AU7" s="1"/>
      <c r="AV7" s="1"/>
      <c r="AW7" s="1"/>
      <c r="AX7" s="1"/>
      <c r="AY7" s="1"/>
    </row>
    <row r="8" spans="1:54" ht="26.25" customHeight="1">
      <c r="A8" t="s">
        <v>85</v>
      </c>
      <c r="B8">
        <v>1992</v>
      </c>
      <c r="C8" s="3">
        <v>92</v>
      </c>
      <c r="D8" s="3">
        <v>2025</v>
      </c>
      <c r="E8" s="3">
        <v>2027</v>
      </c>
      <c r="F8" t="s">
        <v>44</v>
      </c>
      <c r="H8" t="s">
        <v>3</v>
      </c>
      <c r="K8" s="1" t="s">
        <v>65</v>
      </c>
      <c r="L8" s="1" t="s">
        <v>10</v>
      </c>
      <c r="M8" s="1"/>
      <c r="N8" s="1"/>
      <c r="O8" s="1" t="s">
        <v>52</v>
      </c>
      <c r="P8" s="1"/>
      <c r="Q8" s="1" t="s">
        <v>182</v>
      </c>
      <c r="R8" s="1"/>
      <c r="S8" s="1" t="s">
        <v>42</v>
      </c>
      <c r="T8" s="1"/>
      <c r="U8" s="1" t="s">
        <v>56</v>
      </c>
      <c r="V8" s="1"/>
      <c r="W8" s="1"/>
      <c r="X8" s="1"/>
      <c r="Y8" s="1"/>
      <c r="Z8" s="1"/>
      <c r="AA8" s="1" t="s">
        <v>91</v>
      </c>
      <c r="AB8" s="1"/>
      <c r="AC8" s="1"/>
      <c r="AD8" s="1" t="s">
        <v>128</v>
      </c>
      <c r="AE8" s="1" t="s">
        <v>131</v>
      </c>
      <c r="AF8" s="1" t="s">
        <v>137</v>
      </c>
      <c r="AG8" s="1"/>
      <c r="AH8" s="1"/>
      <c r="AI8" s="1"/>
      <c r="AJ8" s="1"/>
      <c r="AK8" s="1"/>
      <c r="AL8" s="1"/>
      <c r="AM8" s="1"/>
      <c r="AN8" s="1"/>
      <c r="AO8" s="1"/>
      <c r="AP8" s="1"/>
      <c r="AQ8" s="1"/>
      <c r="AR8" s="1"/>
      <c r="AS8" s="1"/>
      <c r="AT8" s="1"/>
      <c r="AU8" s="1"/>
      <c r="AV8" s="1"/>
      <c r="AW8" s="1"/>
      <c r="AX8" s="1"/>
      <c r="AY8" s="1"/>
    </row>
    <row r="9" spans="1:54" ht="26.25" customHeight="1">
      <c r="A9" t="s">
        <v>84</v>
      </c>
      <c r="B9">
        <v>1993</v>
      </c>
      <c r="C9" s="3">
        <v>93</v>
      </c>
      <c r="D9" s="3">
        <v>2026</v>
      </c>
      <c r="E9" s="3">
        <v>2028</v>
      </c>
      <c r="F9" t="s">
        <v>45</v>
      </c>
      <c r="H9" t="s">
        <v>4</v>
      </c>
      <c r="K9" s="1"/>
      <c r="L9" s="1" t="s">
        <v>140</v>
      </c>
      <c r="M9" s="1"/>
      <c r="N9" s="1"/>
      <c r="O9" s="1" t="s">
        <v>51</v>
      </c>
      <c r="P9" s="1"/>
      <c r="Q9" s="1" t="s">
        <v>183</v>
      </c>
      <c r="R9" s="1"/>
      <c r="S9" s="1"/>
      <c r="T9" s="1"/>
      <c r="U9" s="1"/>
      <c r="V9" s="1"/>
      <c r="W9" s="1"/>
      <c r="X9" s="1"/>
      <c r="Y9" s="1"/>
      <c r="Z9" s="1"/>
      <c r="AA9" s="1"/>
      <c r="AB9" s="1"/>
      <c r="AC9" s="1"/>
      <c r="AD9" s="1" t="s">
        <v>46</v>
      </c>
      <c r="AE9" s="1" t="s">
        <v>132</v>
      </c>
      <c r="AF9" s="1" t="s">
        <v>177</v>
      </c>
      <c r="AG9" s="1"/>
      <c r="AH9" s="1"/>
      <c r="AI9" s="1"/>
      <c r="AJ9" s="1"/>
      <c r="AK9" s="1"/>
      <c r="AL9" s="1"/>
      <c r="AM9" s="1"/>
      <c r="AN9" s="1"/>
      <c r="AO9" s="1"/>
      <c r="AP9" s="1"/>
      <c r="AQ9" s="1"/>
      <c r="AR9" s="1"/>
      <c r="AS9" s="1"/>
      <c r="AT9" s="1"/>
      <c r="AU9" s="1"/>
      <c r="AV9" s="1"/>
      <c r="AW9" s="1"/>
      <c r="AX9" s="1"/>
      <c r="AY9" s="1"/>
    </row>
    <row r="10" spans="1:54" ht="26.25" customHeight="1">
      <c r="A10" t="s">
        <v>81</v>
      </c>
      <c r="B10">
        <v>1994</v>
      </c>
      <c r="C10" s="3">
        <v>94</v>
      </c>
      <c r="D10" s="3">
        <v>2027</v>
      </c>
      <c r="E10" s="3">
        <v>2029</v>
      </c>
      <c r="F10" t="s">
        <v>33</v>
      </c>
      <c r="H10" t="s">
        <v>5</v>
      </c>
      <c r="K10" s="1"/>
      <c r="L10" s="1"/>
      <c r="M10" s="1"/>
      <c r="N10" s="1"/>
      <c r="O10" s="1"/>
      <c r="P10" s="1"/>
      <c r="Q10" s="1"/>
      <c r="R10" s="1"/>
      <c r="S10" s="1"/>
      <c r="T10" s="1"/>
      <c r="U10" s="1"/>
      <c r="V10" s="1"/>
      <c r="W10" s="1"/>
      <c r="X10" s="1"/>
      <c r="Y10" s="1"/>
      <c r="Z10" s="1"/>
      <c r="AA10" s="1"/>
      <c r="AB10" s="1"/>
      <c r="AC10" s="1"/>
      <c r="AD10" s="1" t="s">
        <v>9</v>
      </c>
      <c r="AE10" s="1" t="s">
        <v>133</v>
      </c>
      <c r="AF10" s="1"/>
      <c r="AG10" s="1"/>
      <c r="AH10" s="1"/>
      <c r="AI10" s="1"/>
      <c r="AJ10" s="1"/>
      <c r="AK10" s="1"/>
      <c r="AL10" s="1"/>
      <c r="AM10" s="1"/>
      <c r="AN10" s="1"/>
      <c r="AO10" s="1"/>
      <c r="AP10" s="1"/>
      <c r="AQ10" s="1"/>
      <c r="AR10" s="1"/>
      <c r="AS10" s="1"/>
      <c r="AT10" s="1"/>
      <c r="AU10" s="1"/>
      <c r="AV10" s="1"/>
      <c r="AW10" s="1"/>
      <c r="AX10" s="1"/>
      <c r="AY10" s="1"/>
    </row>
    <row r="11" spans="1:54" ht="26.25" customHeight="1">
      <c r="A11" t="s">
        <v>80</v>
      </c>
      <c r="B11">
        <v>1995</v>
      </c>
      <c r="C11" s="3">
        <v>95</v>
      </c>
      <c r="D11" s="3">
        <v>2028</v>
      </c>
      <c r="E11" s="3">
        <v>2030</v>
      </c>
      <c r="F11" t="s">
        <v>9</v>
      </c>
      <c r="H11" t="s">
        <v>20</v>
      </c>
      <c r="K11" s="1"/>
      <c r="L11" s="1"/>
      <c r="M11" s="1"/>
      <c r="N11" s="1"/>
      <c r="O11" s="1"/>
      <c r="P11" s="1"/>
      <c r="Q11" s="1"/>
      <c r="R11" s="1"/>
      <c r="S11" s="1"/>
      <c r="T11" s="1"/>
      <c r="U11" s="1"/>
      <c r="V11" s="1"/>
      <c r="W11" s="1"/>
      <c r="X11" s="1"/>
      <c r="Y11" s="1"/>
      <c r="Z11" s="1"/>
      <c r="AA11" s="1"/>
      <c r="AB11" s="1"/>
      <c r="AC11" s="1"/>
      <c r="AD11" s="1"/>
      <c r="AE11" s="1" t="s">
        <v>134</v>
      </c>
      <c r="AF11" s="1"/>
      <c r="AG11" s="1"/>
      <c r="AH11" s="1"/>
      <c r="AI11" s="1"/>
      <c r="AJ11" s="1"/>
      <c r="AK11" s="1"/>
      <c r="AL11" s="1"/>
      <c r="AM11" s="1"/>
      <c r="AN11" s="1"/>
      <c r="AO11" s="1"/>
      <c r="AP11" s="1"/>
      <c r="AQ11" s="1"/>
      <c r="AR11" s="1"/>
      <c r="AS11" s="1"/>
      <c r="AT11" s="1"/>
      <c r="AU11" s="1"/>
      <c r="AV11" s="1"/>
      <c r="AW11" s="1"/>
      <c r="AX11" s="1"/>
      <c r="AY11" s="1"/>
    </row>
    <row r="12" spans="1:54" ht="26.25" customHeight="1">
      <c r="A12" t="s">
        <v>79</v>
      </c>
      <c r="B12">
        <v>1996</v>
      </c>
      <c r="C12" s="3">
        <v>96</v>
      </c>
      <c r="D12" s="3">
        <v>2029</v>
      </c>
      <c r="E12" s="3">
        <v>2031</v>
      </c>
      <c r="F12" t="s">
        <v>46</v>
      </c>
      <c r="H12" t="s">
        <v>21</v>
      </c>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row>
    <row r="13" spans="1:54" ht="26.25" customHeight="1">
      <c r="A13" t="s">
        <v>78</v>
      </c>
      <c r="B13">
        <v>1997</v>
      </c>
      <c r="C13" s="3">
        <v>97</v>
      </c>
      <c r="D13" s="3">
        <v>2030</v>
      </c>
      <c r="E13" s="3">
        <v>2032</v>
      </c>
      <c r="F13" t="s">
        <v>47</v>
      </c>
      <c r="H13" t="s">
        <v>22</v>
      </c>
    </row>
    <row r="14" spans="1:54" ht="26.25" customHeight="1">
      <c r="A14" t="s">
        <v>77</v>
      </c>
      <c r="B14">
        <v>1998</v>
      </c>
      <c r="C14" s="3">
        <v>98</v>
      </c>
      <c r="D14" s="3">
        <v>2031</v>
      </c>
      <c r="E14" s="3">
        <v>2033</v>
      </c>
      <c r="F14" t="s">
        <v>48</v>
      </c>
      <c r="H14" t="s">
        <v>34</v>
      </c>
    </row>
    <row r="15" spans="1:54" ht="26.25" customHeight="1">
      <c r="A15" t="s">
        <v>76</v>
      </c>
      <c r="B15">
        <v>1999</v>
      </c>
      <c r="C15" s="3">
        <v>99</v>
      </c>
      <c r="D15" s="3">
        <v>2032</v>
      </c>
      <c r="E15" s="3">
        <v>2034</v>
      </c>
      <c r="F15" t="s">
        <v>75</v>
      </c>
      <c r="H15" t="s">
        <v>35</v>
      </c>
    </row>
    <row r="16" spans="1:54" ht="26.25" customHeight="1">
      <c r="A16" t="s">
        <v>86</v>
      </c>
      <c r="B16">
        <v>2000</v>
      </c>
      <c r="C16" s="3">
        <v>100</v>
      </c>
      <c r="D16" s="3">
        <v>2033</v>
      </c>
      <c r="E16" s="3">
        <v>2035</v>
      </c>
      <c r="F16" t="s">
        <v>165</v>
      </c>
      <c r="H16" t="s">
        <v>54</v>
      </c>
    </row>
    <row r="17" spans="1:53" ht="26.25" customHeight="1">
      <c r="A17" t="s">
        <v>94</v>
      </c>
      <c r="B17">
        <v>2001</v>
      </c>
      <c r="C17" s="3" t="s">
        <v>73</v>
      </c>
      <c r="D17" s="3">
        <v>2034</v>
      </c>
      <c r="E17" s="3">
        <v>2036</v>
      </c>
      <c r="F17" t="s">
        <v>24</v>
      </c>
      <c r="H17" t="s">
        <v>58</v>
      </c>
    </row>
    <row r="18" spans="1:53" ht="26.25" customHeight="1">
      <c r="A18" t="s">
        <v>142</v>
      </c>
      <c r="B18">
        <v>2002</v>
      </c>
      <c r="C18" s="3" t="s">
        <v>74</v>
      </c>
      <c r="D18" s="3">
        <v>2035</v>
      </c>
      <c r="E18" s="3">
        <v>2037</v>
      </c>
      <c r="F18" t="s">
        <v>106</v>
      </c>
      <c r="H18" t="s">
        <v>61</v>
      </c>
      <c r="K18" t="s">
        <v>111</v>
      </c>
      <c r="M18" t="s">
        <v>111</v>
      </c>
      <c r="O18" t="s">
        <v>111</v>
      </c>
      <c r="Q18" t="s">
        <v>111</v>
      </c>
      <c r="S18" t="s">
        <v>111</v>
      </c>
      <c r="U18" t="s">
        <v>111</v>
      </c>
      <c r="W18" t="s">
        <v>111</v>
      </c>
      <c r="Y18" t="s">
        <v>111</v>
      </c>
      <c r="AA18" t="s">
        <v>111</v>
      </c>
      <c r="AC18" t="s">
        <v>111</v>
      </c>
      <c r="AE18" t="s">
        <v>111</v>
      </c>
      <c r="AG18" t="s">
        <v>111</v>
      </c>
      <c r="AI18" t="s">
        <v>111</v>
      </c>
      <c r="AK18" t="s">
        <v>111</v>
      </c>
      <c r="AM18" t="s">
        <v>111</v>
      </c>
      <c r="AO18" t="s">
        <v>111</v>
      </c>
      <c r="AQ18" t="s">
        <v>111</v>
      </c>
      <c r="AS18" t="s">
        <v>111</v>
      </c>
      <c r="AU18" t="s">
        <v>111</v>
      </c>
      <c r="AX18" t="s">
        <v>111</v>
      </c>
      <c r="BA18" t="s">
        <v>111</v>
      </c>
    </row>
    <row r="19" spans="1:53" ht="26.25" customHeight="1">
      <c r="A19" t="s">
        <v>175</v>
      </c>
      <c r="B19">
        <v>2003</v>
      </c>
      <c r="C19" s="3" t="s">
        <v>113</v>
      </c>
      <c r="D19" s="3">
        <v>2036</v>
      </c>
      <c r="E19" s="3">
        <v>2038</v>
      </c>
      <c r="F19" t="s">
        <v>107</v>
      </c>
      <c r="H19" t="s">
        <v>173</v>
      </c>
    </row>
    <row r="20" spans="1:53" ht="26.25" customHeight="1">
      <c r="A20" t="s">
        <v>159</v>
      </c>
      <c r="B20">
        <v>2004</v>
      </c>
      <c r="C20" s="3" t="s">
        <v>114</v>
      </c>
      <c r="D20" s="3">
        <v>2037</v>
      </c>
      <c r="E20" s="3">
        <v>2039</v>
      </c>
      <c r="F20" t="s">
        <v>108</v>
      </c>
      <c r="H20" t="s">
        <v>68</v>
      </c>
    </row>
    <row r="21" spans="1:53" ht="26.25" customHeight="1">
      <c r="A21" t="s">
        <v>160</v>
      </c>
      <c r="B21">
        <v>2005</v>
      </c>
      <c r="C21" s="3" t="s">
        <v>115</v>
      </c>
      <c r="D21" s="3">
        <v>2038</v>
      </c>
      <c r="E21" s="3">
        <v>2040</v>
      </c>
      <c r="F21" t="s">
        <v>109</v>
      </c>
      <c r="H21" t="s">
        <v>69</v>
      </c>
    </row>
    <row r="22" spans="1:53" ht="26.25" customHeight="1">
      <c r="A22" t="s">
        <v>163</v>
      </c>
      <c r="B22">
        <v>2006</v>
      </c>
      <c r="C22" s="3" t="s">
        <v>116</v>
      </c>
      <c r="D22" s="3">
        <v>2039</v>
      </c>
      <c r="E22" s="3">
        <v>2041</v>
      </c>
      <c r="H22" t="s">
        <v>87</v>
      </c>
    </row>
    <row r="23" spans="1:53" ht="26.25" customHeight="1">
      <c r="A23" t="s">
        <v>171</v>
      </c>
      <c r="B23">
        <v>2007</v>
      </c>
      <c r="C23" s="3" t="s">
        <v>117</v>
      </c>
      <c r="D23" s="3">
        <v>2040</v>
      </c>
      <c r="E23" s="3">
        <v>2042</v>
      </c>
      <c r="H23" t="s">
        <v>92</v>
      </c>
    </row>
    <row r="24" spans="1:53" ht="26.25" customHeight="1">
      <c r="A24" t="s">
        <v>172</v>
      </c>
      <c r="B24">
        <v>2008</v>
      </c>
      <c r="C24" s="3" t="s">
        <v>118</v>
      </c>
      <c r="D24" s="3">
        <v>2041</v>
      </c>
      <c r="E24" s="3">
        <v>2043</v>
      </c>
      <c r="H24" t="s">
        <v>124</v>
      </c>
    </row>
    <row r="25" spans="1:53" ht="26.25" customHeight="1">
      <c r="A25" t="s">
        <v>141</v>
      </c>
      <c r="B25">
        <v>2009</v>
      </c>
      <c r="C25" t="s">
        <v>112</v>
      </c>
      <c r="D25" s="3">
        <v>2042</v>
      </c>
      <c r="E25" s="3">
        <v>2044</v>
      </c>
      <c r="H25" t="s">
        <v>119</v>
      </c>
    </row>
    <row r="26" spans="1:53" ht="26.25" customHeight="1">
      <c r="A26" t="s">
        <v>141</v>
      </c>
      <c r="B26">
        <v>2010</v>
      </c>
      <c r="D26" s="3">
        <v>2043</v>
      </c>
      <c r="E26" s="3">
        <v>2045</v>
      </c>
      <c r="H26" t="s">
        <v>120</v>
      </c>
    </row>
    <row r="27" spans="1:53" ht="26.25" customHeight="1">
      <c r="A27" t="s">
        <v>141</v>
      </c>
      <c r="B27">
        <v>2011</v>
      </c>
      <c r="D27" s="3">
        <v>2044</v>
      </c>
      <c r="E27" s="3">
        <v>2046</v>
      </c>
      <c r="H27" t="s">
        <v>121</v>
      </c>
    </row>
    <row r="28" spans="1:53" ht="26.25" customHeight="1">
      <c r="A28" t="s">
        <v>141</v>
      </c>
      <c r="B28">
        <v>2012</v>
      </c>
      <c r="D28" s="3">
        <v>2045</v>
      </c>
      <c r="E28" s="3">
        <v>2047</v>
      </c>
      <c r="H28" t="s">
        <v>143</v>
      </c>
    </row>
    <row r="29" spans="1:53" ht="26.25" customHeight="1">
      <c r="A29" t="s">
        <v>141</v>
      </c>
      <c r="B29">
        <v>2013</v>
      </c>
      <c r="D29" s="3">
        <v>2046</v>
      </c>
      <c r="E29" s="3">
        <v>2048</v>
      </c>
      <c r="H29" t="s">
        <v>146</v>
      </c>
    </row>
    <row r="30" spans="1:53" ht="26.25" customHeight="1">
      <c r="A30" t="s">
        <v>238</v>
      </c>
      <c r="B30">
        <v>2014</v>
      </c>
      <c r="D30" s="3">
        <v>2047</v>
      </c>
      <c r="E30" s="3">
        <v>2049</v>
      </c>
      <c r="H30" t="s">
        <v>158</v>
      </c>
    </row>
    <row r="31" spans="1:53" ht="26.25" customHeight="1">
      <c r="A31" t="s">
        <v>29</v>
      </c>
      <c r="B31">
        <v>2015</v>
      </c>
      <c r="D31" s="3">
        <v>2048</v>
      </c>
      <c r="E31" s="3">
        <v>2050</v>
      </c>
      <c r="H31" t="s">
        <v>161</v>
      </c>
    </row>
    <row r="32" spans="1:53" ht="26.25" customHeight="1">
      <c r="B32">
        <v>2016</v>
      </c>
      <c r="D32" s="3">
        <v>2049</v>
      </c>
      <c r="E32" s="3">
        <v>2051</v>
      </c>
      <c r="H32" t="s">
        <v>166</v>
      </c>
    </row>
    <row r="33" spans="2:8" ht="26.25" customHeight="1">
      <c r="B33">
        <v>2017</v>
      </c>
      <c r="D33" s="3">
        <v>2050</v>
      </c>
      <c r="E33" s="3">
        <v>2052</v>
      </c>
      <c r="H33" t="s">
        <v>168</v>
      </c>
    </row>
    <row r="34" spans="2:8" ht="26.25" customHeight="1">
      <c r="B34">
        <v>2018</v>
      </c>
      <c r="D34" s="3">
        <v>2051</v>
      </c>
      <c r="E34" s="3">
        <v>2053</v>
      </c>
      <c r="H34" t="s">
        <v>64</v>
      </c>
    </row>
    <row r="35" spans="2:8" ht="26.25" customHeight="1">
      <c r="B35">
        <v>2019</v>
      </c>
      <c r="D35" s="3">
        <v>2052</v>
      </c>
      <c r="E35" s="3">
        <v>2054</v>
      </c>
      <c r="H35" t="s">
        <v>178</v>
      </c>
    </row>
    <row r="36" spans="2:8" ht="26.25" customHeight="1">
      <c r="B36">
        <v>2020</v>
      </c>
      <c r="D36" s="3">
        <v>2053</v>
      </c>
      <c r="E36" s="3">
        <v>2055</v>
      </c>
    </row>
    <row r="37" spans="2:8" ht="26.25" customHeight="1">
      <c r="B37">
        <v>2021</v>
      </c>
      <c r="D37" s="3">
        <v>2054</v>
      </c>
      <c r="E37" s="3">
        <v>2056</v>
      </c>
      <c r="H37" t="s">
        <v>198</v>
      </c>
    </row>
    <row r="38" spans="2:8" ht="26.25" customHeight="1">
      <c r="B38">
        <v>2022</v>
      </c>
      <c r="D38" s="3">
        <v>2055</v>
      </c>
      <c r="E38" s="3">
        <v>2057</v>
      </c>
      <c r="H38" t="s">
        <v>231</v>
      </c>
    </row>
    <row r="39" spans="2:8" ht="26.25" customHeight="1">
      <c r="B39">
        <v>2023</v>
      </c>
      <c r="D39" s="3">
        <v>2056</v>
      </c>
      <c r="E39" s="3">
        <v>2058</v>
      </c>
      <c r="H39" t="s">
        <v>233</v>
      </c>
    </row>
    <row r="40" spans="2:8" ht="26.25" customHeight="1">
      <c r="B40">
        <v>2024</v>
      </c>
      <c r="D40" s="3">
        <v>2057</v>
      </c>
      <c r="E40" s="3">
        <v>2059</v>
      </c>
      <c r="H40" t="s">
        <v>95</v>
      </c>
    </row>
    <row r="41" spans="2:8" ht="26.25" customHeight="1">
      <c r="B41">
        <v>2025</v>
      </c>
      <c r="D41" s="3">
        <v>2058</v>
      </c>
      <c r="E41" s="3">
        <v>2060</v>
      </c>
      <c r="H41" t="s">
        <v>96</v>
      </c>
    </row>
    <row r="42" spans="2:8" ht="26.25" customHeight="1">
      <c r="B42">
        <v>2026</v>
      </c>
      <c r="D42" s="3">
        <v>2059</v>
      </c>
      <c r="E42" s="3">
        <v>2061</v>
      </c>
      <c r="H42" t="s">
        <v>97</v>
      </c>
    </row>
    <row r="43" spans="2:8" ht="26.25" customHeight="1">
      <c r="B43">
        <v>2027</v>
      </c>
      <c r="D43" s="3">
        <v>2060</v>
      </c>
      <c r="E43" s="3">
        <v>2062</v>
      </c>
      <c r="H43" t="s">
        <v>98</v>
      </c>
    </row>
    <row r="44" spans="2:8" ht="26.25" customHeight="1">
      <c r="B44">
        <v>2028</v>
      </c>
      <c r="D44" s="3">
        <v>2061</v>
      </c>
      <c r="E44" s="3">
        <v>2063</v>
      </c>
      <c r="H44" t="s">
        <v>99</v>
      </c>
    </row>
    <row r="45" spans="2:8" ht="26.25" customHeight="1">
      <c r="B45">
        <v>2029</v>
      </c>
      <c r="D45" s="3">
        <v>2062</v>
      </c>
      <c r="E45" s="3">
        <v>2064</v>
      </c>
      <c r="H45" t="s">
        <v>100</v>
      </c>
    </row>
    <row r="46" spans="2:8" ht="26.25" customHeight="1">
      <c r="B46">
        <v>2030</v>
      </c>
      <c r="D46" s="3">
        <v>2063</v>
      </c>
      <c r="E46" s="3">
        <v>2065</v>
      </c>
      <c r="H46" t="s">
        <v>101</v>
      </c>
    </row>
    <row r="47" spans="2:8" ht="26.25" customHeight="1">
      <c r="B47">
        <v>2031</v>
      </c>
      <c r="D47" s="3">
        <v>2064</v>
      </c>
      <c r="H47" t="s">
        <v>102</v>
      </c>
    </row>
    <row r="48" spans="2:8" ht="26.25" customHeight="1">
      <c r="B48">
        <v>2032</v>
      </c>
      <c r="D48" s="3">
        <v>2065</v>
      </c>
      <c r="H48" t="s">
        <v>103</v>
      </c>
    </row>
    <row r="49" spans="2:11" ht="26.25" customHeight="1">
      <c r="B49">
        <v>2033</v>
      </c>
      <c r="H49" t="s">
        <v>104</v>
      </c>
    </row>
    <row r="50" spans="2:11" ht="26.25" customHeight="1">
      <c r="B50">
        <v>2034</v>
      </c>
      <c r="K50" t="s">
        <v>25</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Cellar</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James Starr</dc:creator>
  <cp:lastModifiedBy>PC</cp:lastModifiedBy>
  <dcterms:created xsi:type="dcterms:W3CDTF">2023-01-19T06:13:24Z</dcterms:created>
  <dcterms:modified xsi:type="dcterms:W3CDTF">2026-07-13T02:11:31Z</dcterms:modified>
</cp:coreProperties>
</file>