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Cellar" sheetId="2" state="visible" r:id="rId2"/>
    <sheet name="Read M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\%"/>
    <numFmt numFmtId="166" formatCode="dd\ mmm\ yyyy"/>
    <numFmt numFmtId="167" formatCode="dd mmm yyyy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6B6B6B"/>
      <sz val="9"/>
    </font>
    <font>
      <name val="Arial"/>
      <charset val="1"/>
      <family val="0"/>
      <b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2A44"/>
      <sz val="20"/>
    </font>
    <font>
      <name val="Arial"/>
      <charset val="1"/>
      <family val="0"/>
      <b val="1"/>
      <color rgb="FF6B2130"/>
      <sz val="2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1E7A46"/>
      <sz val="20"/>
    </font>
    <font>
      <name val="Arial"/>
      <charset val="1"/>
      <family val="0"/>
      <b val="1"/>
      <color rgb="FFB8860B"/>
      <sz val="20"/>
    </font>
    <font>
      <name val="Arial"/>
      <charset val="1"/>
      <family val="0"/>
      <b val="1"/>
      <color rgb="FF9C1B1B"/>
      <sz val="2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8A8A8A"/>
      <sz val="8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222222"/>
      <sz val="10"/>
    </font>
    <font>
      <name val="Arial"/>
      <charset val="1"/>
      <family val="0"/>
      <color rgb="FF222222"/>
      <sz val="6"/>
    </font>
    <font>
      <name val="Arial"/>
      <charset val="1"/>
      <family val="0"/>
      <b val="1"/>
      <color rgb="FF6B2130"/>
      <sz val="12"/>
    </font>
    <font>
      <name val="Arial"/>
      <charset val="1"/>
      <family val="0"/>
      <color rgb="FF222222"/>
      <sz val="10"/>
    </font>
    <font>
      <name val="Arial"/>
      <b val="1"/>
      <color rgb="FFFFFFFF"/>
      <sz val="10"/>
    </font>
    <font>
      <name val="Arial"/>
      <b val="1"/>
      <color rgb="FF6B2130"/>
      <sz val="12"/>
    </font>
    <font>
      <name val="Arial"/>
      <color rgb="FF222222"/>
      <sz val="10"/>
    </font>
  </fonts>
  <fills count="9">
    <fill>
      <patternFill/>
    </fill>
    <fill>
      <patternFill patternType="gray125"/>
    </fill>
    <fill>
      <patternFill patternType="solid">
        <fgColor rgb="FF6B2130"/>
        <bgColor rgb="FF9C1B1B"/>
      </patternFill>
    </fill>
    <fill>
      <patternFill patternType="solid">
        <fgColor rgb="FFEFE7DB"/>
        <bgColor rgb="FFE6E6E6"/>
      </patternFill>
    </fill>
    <fill>
      <patternFill patternType="solid">
        <fgColor rgb="FF1F2A44"/>
        <bgColor rgb="FF222222"/>
      </patternFill>
    </fill>
    <fill>
      <patternFill patternType="solid">
        <fgColor rgb="FFF7F3EC"/>
        <bgColor rgb="FFEFE7DB"/>
      </patternFill>
    </fill>
    <fill>
      <patternFill patternType="solid">
        <fgColor rgb="FF1E7A46"/>
        <bgColor rgb="FF008080"/>
      </patternFill>
    </fill>
    <fill>
      <patternFill patternType="solid">
        <fgColor rgb="FFB8860B"/>
        <bgColor rgb="FFB5651D"/>
      </patternFill>
    </fill>
    <fill>
      <patternFill patternType="solid">
        <fgColor rgb="FF9C1B1B"/>
        <bgColor rgb="FF800000"/>
      </patternFill>
    </fill>
  </fills>
  <borders count="5">
    <border>
      <left/>
      <right/>
      <top/>
      <bottom/>
      <diagonal/>
    </border>
    <border>
      <left style="thin">
        <color rgb="FFD8CFC0"/>
      </left>
      <right/>
      <top style="thin">
        <color rgb="FFD8CFC0"/>
      </top>
      <bottom style="thin">
        <color rgb="FFD8CFC0"/>
      </bottom>
      <diagonal/>
    </border>
    <border>
      <left style="thin">
        <color rgb="FFD8CFC0"/>
      </left>
      <right style="thin">
        <color rgb="FFD8CFC0"/>
      </right>
      <top style="thin">
        <color rgb="FFD8CFC0"/>
      </top>
      <bottom style="thin">
        <color rgb="FFD8CFC0"/>
      </bottom>
      <diagonal/>
    </border>
    <border>
      <left/>
      <right/>
      <top style="thin">
        <color rgb="FFD8CFC0"/>
      </top>
      <bottom/>
      <diagonal/>
    </border>
    <border>
      <left/>
      <right/>
      <top style="thin">
        <color rgb="FFD8CFC0"/>
      </top>
      <bottom style="thin">
        <color rgb="FFD8CF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1" fontId="11" fillId="0" borderId="2" applyAlignment="1" pivotButton="0" quotePrefix="0" xfId="0">
      <alignment horizontal="center" vertical="center"/>
    </xf>
    <xf numFmtId="1" fontId="12" fillId="5" borderId="1" applyAlignment="1" pivotButton="0" quotePrefix="0" xfId="0">
      <alignment horizontal="center" vertical="center"/>
    </xf>
    <xf numFmtId="1" fontId="13" fillId="5" borderId="1" applyAlignment="1" pivotButton="0" quotePrefix="0" xfId="0">
      <alignment horizontal="center" vertical="center"/>
    </xf>
    <xf numFmtId="1" fontId="14" fillId="5" borderId="1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0" fontId="16" fillId="4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/>
    </xf>
    <xf numFmtId="0" fontId="15" fillId="8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general" vertical="center"/>
    </xf>
    <xf numFmtId="0" fontId="18" fillId="0" borderId="2" applyAlignment="1" pivotButton="0" quotePrefix="0" xfId="0">
      <alignment horizontal="center" vertical="center"/>
    </xf>
    <xf numFmtId="165" fontId="18" fillId="0" borderId="2" applyAlignment="1" pivotButton="0" quotePrefix="0" xfId="0">
      <alignment horizontal="general" vertical="center"/>
    </xf>
    <xf numFmtId="166" fontId="18" fillId="0" borderId="2" applyAlignment="1" pivotButton="0" quotePrefix="0" xfId="0">
      <alignment horizontal="general" vertical="center"/>
    </xf>
    <xf numFmtId="164" fontId="18" fillId="0" borderId="2" applyAlignment="1" pivotButton="0" quotePrefix="0" xfId="0">
      <alignment horizontal="general" vertical="center"/>
    </xf>
    <xf numFmtId="1" fontId="18" fillId="0" borderId="2" applyAlignment="1" pivotButton="0" quotePrefix="0" xfId="0">
      <alignment horizontal="general" vertical="center"/>
    </xf>
    <xf numFmtId="0" fontId="18" fillId="0" borderId="2" applyAlignment="1" pivotButton="0" quotePrefix="0" xfId="0">
      <alignment horizontal="general" vertical="center" wrapText="1"/>
    </xf>
    <xf numFmtId="0" fontId="19" fillId="0" borderId="2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3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4" borderId="2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1" fontId="11" fillId="0" borderId="2" applyAlignment="1" pivotButton="0" quotePrefix="0" xfId="0">
      <alignment horizontal="center" vertical="center"/>
    </xf>
    <xf numFmtId="1" fontId="12" fillId="5" borderId="1" applyAlignment="1" pivotButton="0" quotePrefix="0" xfId="0">
      <alignment horizontal="center" vertical="center"/>
    </xf>
    <xf numFmtId="1" fontId="13" fillId="5" borderId="1" applyAlignment="1" pivotButton="0" quotePrefix="0" xfId="0">
      <alignment horizontal="center" vertical="center"/>
    </xf>
    <xf numFmtId="1" fontId="14" fillId="5" borderId="1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0" fontId="16" fillId="4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/>
    </xf>
    <xf numFmtId="0" fontId="15" fillId="8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general" vertical="center"/>
    </xf>
    <xf numFmtId="0" fontId="18" fillId="0" borderId="2" applyAlignment="1" pivotButton="0" quotePrefix="0" xfId="0">
      <alignment horizontal="center" vertical="center"/>
    </xf>
    <xf numFmtId="165" fontId="18" fillId="0" borderId="2" applyAlignment="1" pivotButton="0" quotePrefix="0" xfId="0">
      <alignment horizontal="general" vertical="center"/>
    </xf>
    <xf numFmtId="166" fontId="18" fillId="0" borderId="2" applyAlignment="1" pivotButton="0" quotePrefix="0" xfId="0">
      <alignment horizontal="general" vertical="center"/>
    </xf>
    <xf numFmtId="164" fontId="18" fillId="0" borderId="2" applyAlignment="1" pivotButton="0" quotePrefix="0" xfId="0">
      <alignment horizontal="general" vertical="center"/>
    </xf>
    <xf numFmtId="1" fontId="18" fillId="0" borderId="2" applyAlignment="1" pivotButton="0" quotePrefix="0" xfId="0">
      <alignment horizontal="general" vertical="center"/>
    </xf>
    <xf numFmtId="0" fontId="18" fillId="0" borderId="2" applyAlignment="1" pivotButton="0" quotePrefix="0" xfId="0">
      <alignment horizontal="general" vertical="center" wrapText="1"/>
    </xf>
    <xf numFmtId="0" fontId="19" fillId="0" borderId="2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3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167" fontId="0" fillId="0" borderId="0" pivotButton="0" quotePrefix="0" xfId="0"/>
    <xf numFmtId="0" fontId="26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2">
    <dxf>
      <fill>
        <patternFill patternType="solid">
          <fgColor rgb="FF6B21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9C1B1B"/>
          <bgColor rgb="FF000000"/>
        </patternFill>
      </fill>
    </dxf>
    <dxf>
      <fill>
        <patternFill patternType="solid">
          <fgColor rgb="FFD9EFE1"/>
          <bgColor rgb="FF000000"/>
        </patternFill>
      </fill>
    </dxf>
    <dxf>
      <fill>
        <patternFill patternType="solid">
          <fgColor rgb="FFDCE6F5"/>
          <bgColor rgb="FF000000"/>
        </patternFill>
      </fill>
    </dxf>
    <dxf>
      <fill>
        <patternFill patternType="solid">
          <fgColor rgb="FFE6E6E6"/>
          <bgColor rgb="FF000000"/>
        </patternFill>
      </fill>
    </dxf>
    <dxf>
      <fill>
        <patternFill patternType="solid">
          <fgColor rgb="FF1E7A46"/>
          <bgColor rgb="FF000000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ont>
        <b val="1"/>
        <color rgb="FF9C1B1B"/>
      </font>
      <fill>
        <patternFill>
          <bgColor rgb="FFF5D6D6"/>
        </patternFill>
      </fill>
    </dxf>
    <dxf>
      <font>
        <b val="1"/>
        <color rgb="FF1E7A46"/>
      </font>
      <fill>
        <patternFill>
          <bgColor rgb="FFD9EFE1"/>
        </patternFill>
      </fill>
    </dxf>
    <dxf>
      <font>
        <color rgb="FF1F2A44"/>
      </font>
      <fill>
        <patternFill>
          <bgColor rgb="FFDCE6F5"/>
        </patternFill>
      </fill>
    </dxf>
    <dxf>
      <font>
        <b val="1"/>
        <color rgb="FFB5651D"/>
      </font>
      <fill>
        <patternFill>
          <bgColor rgb="FFF6E3CF"/>
        </patternFill>
      </fill>
    </dxf>
    <dxf>
      <font>
        <i val="1"/>
        <color rgb="FF666666"/>
      </font>
      <fill>
        <patternFill>
          <bgColor rgb="FFE6E6E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9D9"/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E7A46"/>
      <rgbColor rgb="FFD8CFC0"/>
      <rgbColor rgb="FF8A8A8A"/>
      <rgbColor rgb="FF9999FF"/>
      <rgbColor rgb="FF993366"/>
      <rgbColor rgb="FFF7F3EC"/>
      <rgbColor rgb="FFDCE6F5"/>
      <rgbColor rgb="FF6B2130"/>
      <rgbColor rgb="FFFF8080"/>
      <rgbColor rgb="FF0066CC"/>
      <rgbColor rgb="FFEFE7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D9EFE1"/>
      <rgbColor rgb="FFF6E3CF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B5651D"/>
      <rgbColor rgb="FF6B6B6B"/>
      <rgbColor rgb="FF666666"/>
      <rgbColor rgb="FF003366"/>
      <rgbColor rgb="FF339966"/>
      <rgbColor rgb="FF003300"/>
      <rgbColor rgb="FF222222"/>
      <rgbColor rgb="FF9C1B1B"/>
      <rgbColor rgb="FF993366"/>
      <rgbColor rgb="FF555555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I4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22" customWidth="1" style="32" min="2" max="3"/>
    <col width="10" customWidth="1" style="32" min="4" max="5"/>
    <col width="14" customWidth="1" style="32" min="6" max="7"/>
    <col width="10" customWidth="1" style="32" min="8" max="8"/>
    <col width="26" customWidth="1" style="32" min="9" max="9"/>
  </cols>
  <sheetData>
    <row r="2" ht="33.75" customHeight="1" s="33">
      <c r="B2" s="34" t="inlineStr">
        <is>
          <t>🍷  Wine Cellar — Dashboard</t>
        </is>
      </c>
    </row>
    <row r="3" ht="15" customHeight="1" s="33">
      <c r="B3" s="35" t="inlineStr">
        <is>
          <t>Live snapshot of the cellar. Everything below reads straight from the Cellar tab and updates as you add bottles.</t>
        </is>
      </c>
    </row>
    <row r="5" ht="15" customHeight="1" s="33">
      <c r="B5" s="36" t="inlineStr">
        <is>
          <t>Distinct Wines</t>
        </is>
      </c>
      <c r="C5" s="37" t="n"/>
      <c r="D5" s="36" t="inlineStr">
        <is>
          <t>Total Bottles</t>
        </is>
      </c>
      <c r="E5" s="37" t="n"/>
      <c r="F5" s="36" t="inlineStr">
        <is>
          <t>Cellar Value (AUD)</t>
        </is>
      </c>
      <c r="G5" s="37" t="n"/>
      <c r="H5" s="38" t="inlineStr">
        <is>
          <t>By Type</t>
        </is>
      </c>
    </row>
    <row r="6" ht="30" customHeight="1" s="33">
      <c r="B6" s="39">
        <f>COUNTA(Cellar!$C$2:$C$1500)</f>
        <v/>
      </c>
      <c r="C6" s="37" t="n"/>
      <c r="D6" s="39">
        <f>SUM(Cellar!$M$2:$M$1500)</f>
        <v/>
      </c>
      <c r="E6" s="37" t="n"/>
      <c r="F6" s="40">
        <f>SUMPRODUCT(Cellar!$M$2:$M$1500,Cellar!$O$2:$O$1500)</f>
        <v/>
      </c>
      <c r="G6" s="37" t="n"/>
      <c r="H6" s="41" t="inlineStr">
        <is>
          <t>Red</t>
        </is>
      </c>
      <c r="I6" s="42">
        <f>SUMIFS(Cellar!$M$2:$M$1500,Cellar!$G$2:$G$1500,"Red")</f>
        <v/>
      </c>
    </row>
    <row r="7" ht="15" customHeight="1" s="33">
      <c r="H7" s="41" t="inlineStr">
        <is>
          <t>White</t>
        </is>
      </c>
      <c r="I7" s="42">
        <f>SUMIFS(Cellar!$M$2:$M$1500,Cellar!$G$2:$G$1500,"White")</f>
        <v/>
      </c>
    </row>
    <row r="8" ht="15" customHeight="1" s="33">
      <c r="B8" s="36" t="inlineStr">
        <is>
          <t>Ready to Drink</t>
        </is>
      </c>
      <c r="C8" s="37" t="n"/>
      <c r="D8" s="36">
        <f>"Into Window "&amp;(YEAR(TODAY())+1)</f>
        <v/>
      </c>
      <c r="E8" s="37" t="n"/>
      <c r="F8" s="36" t="inlineStr">
        <is>
          <t>Out of Stock</t>
        </is>
      </c>
      <c r="G8" s="37" t="n"/>
      <c r="H8" s="41" t="inlineStr">
        <is>
          <t>Sparkling</t>
        </is>
      </c>
      <c r="I8" s="42">
        <f>SUMIFS(Cellar!$M$2:$M$1500,Cellar!$G$2:$G$1500,"Sparkling")</f>
        <v/>
      </c>
    </row>
    <row r="9" ht="30" customHeight="1" s="33">
      <c r="B9" s="43">
        <f>COUNTIFS(Cellar!$V$2:$V$1500,"Ready",Cellar!$M$2:$M$1500,"&gt;0")+COUNTIFS(Cellar!$V$2:$V$1500,"Drink now",Cellar!$M$2:$M$1500,"&gt;0")</f>
        <v/>
      </c>
      <c r="C9" s="37" t="n"/>
      <c r="D9" s="44">
        <f>COUNTIFS(Cellar!$P$2:$P$1500,YEAR(TODAY())+1,Cellar!$M$2:$M$1500,"&gt;0")</f>
        <v/>
      </c>
      <c r="E9" s="37" t="n"/>
      <c r="F9" s="45">
        <f>COUNTIF(Cellar!$M$2:$M$1500,0)</f>
        <v/>
      </c>
      <c r="G9" s="37" t="n"/>
      <c r="H9" s="41" t="inlineStr">
        <is>
          <t>Rosé</t>
        </is>
      </c>
      <c r="I9" s="42">
        <f>SUMIFS(Cellar!$M$2:$M$1500,Cellar!$G$2:$G$1500,"Rosé")</f>
        <v/>
      </c>
    </row>
    <row r="10" ht="15" customHeight="1" s="33">
      <c r="H10" s="41" t="inlineStr">
        <is>
          <t>Fortified</t>
        </is>
      </c>
      <c r="I10" s="42">
        <f>SUMIFS(Cellar!$M$2:$M$1500,Cellar!$G$2:$G$1500,"Fortified")</f>
        <v/>
      </c>
    </row>
    <row r="11" ht="15" customHeight="1" s="33">
      <c r="H11" s="41" t="inlineStr">
        <is>
          <t>Dessert</t>
        </is>
      </c>
      <c r="I11" s="42">
        <f>SUMIFS(Cellar!$M$2:$M$1500,Cellar!$G$2:$G$1500,"Dessert")</f>
        <v/>
      </c>
    </row>
    <row r="15" ht="24" customHeight="1" s="33">
      <c r="B15" s="46" t="inlineStr">
        <is>
          <t>✅  Ready to drink now</t>
        </is>
      </c>
    </row>
    <row r="16" ht="15" customHeight="1" s="33">
      <c r="B16" s="47" t="inlineStr">
        <is>
          <t>Producer</t>
        </is>
      </c>
      <c r="C16" s="47" t="inlineStr">
        <is>
          <t>Wine</t>
        </is>
      </c>
      <c r="D16" s="47" t="inlineStr">
        <is>
          <t>Vintage</t>
        </is>
      </c>
      <c r="E16" s="47" t="inlineStr">
        <is>
          <t>Type</t>
        </is>
      </c>
      <c r="F16" s="47" t="inlineStr">
        <is>
          <t>Qty</t>
        </is>
      </c>
      <c r="G16" s="47" t="inlineStr">
        <is>
          <t>Win Start</t>
        </is>
      </c>
      <c r="H16" s="47" t="inlineStr">
        <is>
          <t>Win End</t>
        </is>
      </c>
      <c r="I16" s="32" t="inlineStr">
        <is>
          <t>Rating</t>
        </is>
      </c>
    </row>
    <row r="17" ht="15" customHeight="1" s="33">
      <c r="B17" s="48">
        <f>IFERROR(QUERY(Cellar!A2:AC1500,"select D,E,F,G,M,P,Q,S where (V='Ready' or V='Drink now') and M&gt;0 order by D",0),"— nothing in this list yet —")</f>
        <v/>
      </c>
      <c r="C17" s="41" t="n"/>
      <c r="D17" s="48" t="n"/>
      <c r="E17" s="48" t="n"/>
      <c r="F17" s="48" t="n"/>
      <c r="G17" s="48" t="n"/>
      <c r="H17" s="48" t="n"/>
    </row>
    <row r="18" ht="15" customHeight="1" s="33">
      <c r="B18" s="48" t="n"/>
      <c r="C18" s="41" t="n"/>
      <c r="D18" s="48" t="n"/>
      <c r="E18" s="48" t="n"/>
      <c r="F18" s="48" t="n"/>
      <c r="G18" s="48" t="n"/>
      <c r="H18" s="48" t="n"/>
    </row>
    <row r="19" ht="15" customHeight="1" s="33">
      <c r="B19" s="48" t="n"/>
      <c r="C19" s="41" t="n"/>
      <c r="D19" s="48" t="n"/>
      <c r="E19" s="48" t="n"/>
      <c r="F19" s="48" t="n"/>
      <c r="G19" s="48" t="n"/>
      <c r="H19" s="48" t="n"/>
    </row>
    <row r="20" ht="15" customHeight="1" s="33">
      <c r="B20" s="48" t="n"/>
      <c r="C20" s="41" t="n"/>
      <c r="D20" s="48" t="n"/>
      <c r="E20" s="48" t="n"/>
      <c r="F20" s="48" t="n"/>
      <c r="G20" s="48" t="n"/>
      <c r="H20" s="48" t="n"/>
    </row>
    <row r="21" ht="15" customHeight="1" s="33">
      <c r="B21" s="48" t="n"/>
      <c r="C21" s="41" t="n"/>
      <c r="D21" s="48" t="n"/>
      <c r="E21" s="48" t="n"/>
      <c r="F21" s="48" t="n"/>
      <c r="G21" s="48" t="n"/>
      <c r="H21" s="48" t="n"/>
    </row>
    <row r="22" ht="15" customHeight="1" s="33">
      <c r="B22" s="48" t="n"/>
      <c r="C22" s="41" t="n"/>
      <c r="D22" s="48" t="n"/>
      <c r="E22" s="48" t="n"/>
      <c r="F22" s="48" t="n"/>
      <c r="G22" s="48" t="n"/>
      <c r="H22" s="48" t="n"/>
    </row>
    <row r="23" ht="15" customHeight="1" s="33">
      <c r="B23" s="48" t="n"/>
      <c r="C23" s="41" t="n"/>
      <c r="D23" s="48" t="n"/>
      <c r="E23" s="48" t="n"/>
      <c r="F23" s="48" t="n"/>
      <c r="G23" s="48" t="n"/>
      <c r="H23" s="48" t="n"/>
    </row>
    <row r="24" ht="15" customHeight="1" s="33">
      <c r="B24" s="48" t="n"/>
      <c r="C24" s="41" t="n"/>
      <c r="D24" s="48" t="n"/>
      <c r="E24" s="48" t="n"/>
      <c r="F24" s="48" t="n"/>
      <c r="G24" s="48" t="n"/>
      <c r="H24" s="48" t="n"/>
    </row>
    <row r="25" ht="15" customHeight="1" s="33">
      <c r="B25" s="48" t="n"/>
      <c r="C25" s="41" t="n"/>
      <c r="D25" s="48" t="n"/>
      <c r="E25" s="48" t="n"/>
      <c r="F25" s="48" t="n"/>
      <c r="G25" s="48" t="n"/>
      <c r="H25" s="48" t="n"/>
    </row>
    <row r="26" ht="15" customHeight="1" s="33">
      <c r="B26" s="48" t="n"/>
      <c r="C26" s="41" t="n"/>
      <c r="D26" s="48" t="n"/>
      <c r="E26" s="48" t="n"/>
      <c r="F26" s="48" t="n"/>
      <c r="G26" s="48" t="n"/>
      <c r="H26" s="48" t="n"/>
    </row>
    <row r="27" ht="15" customHeight="1" s="33">
      <c r="B27" s="48" t="n"/>
      <c r="C27" s="41" t="n"/>
      <c r="D27" s="48" t="n"/>
      <c r="E27" s="48" t="n"/>
      <c r="F27" s="48" t="n"/>
      <c r="G27" s="48" t="n"/>
      <c r="H27" s="48" t="n"/>
    </row>
    <row r="28" ht="15" customHeight="1" s="33">
      <c r="B28" s="48" t="n"/>
      <c r="C28" s="41" t="n"/>
      <c r="D28" s="48" t="n"/>
      <c r="E28" s="48" t="n"/>
      <c r="F28" s="48" t="n"/>
      <c r="G28" s="48" t="n"/>
      <c r="H28" s="48" t="n"/>
    </row>
    <row r="29" ht="15" customHeight="1" s="33">
      <c r="B29" s="48" t="n"/>
      <c r="C29" s="41" t="n"/>
      <c r="D29" s="48" t="n"/>
      <c r="E29" s="48" t="n"/>
      <c r="F29" s="48" t="n"/>
      <c r="G29" s="48" t="n"/>
      <c r="H29" s="48" t="n"/>
    </row>
    <row r="31" ht="24" customHeight="1" s="33">
      <c r="B31" s="49">
        <f>"📅  Coming into window in "&amp;(YEAR(TODAY())+1)</f>
        <v/>
      </c>
    </row>
    <row r="32" ht="15" customHeight="1" s="33">
      <c r="B32" s="47" t="inlineStr">
        <is>
          <t>Producer</t>
        </is>
      </c>
      <c r="C32" s="47" t="inlineStr">
        <is>
          <t>Wine</t>
        </is>
      </c>
      <c r="D32" s="47" t="inlineStr">
        <is>
          <t>Vintage</t>
        </is>
      </c>
      <c r="E32" s="47" t="inlineStr">
        <is>
          <t>Type</t>
        </is>
      </c>
      <c r="F32" s="47" t="inlineStr">
        <is>
          <t>Qty</t>
        </is>
      </c>
      <c r="G32" s="47" t="inlineStr">
        <is>
          <t>Win Start</t>
        </is>
      </c>
      <c r="H32" s="47" t="inlineStr">
        <is>
          <t>Win End</t>
        </is>
      </c>
      <c r="I32" s="32" t="inlineStr">
        <is>
          <t>Rating</t>
        </is>
      </c>
    </row>
    <row r="33" ht="15" customHeight="1" s="33">
      <c r="B33" s="48">
        <f>IFERROR(QUERY(Cellar!A2:AC1500,"select D,E,F,G,M,P,Q,S where P="&amp;(YEAR(TODAY())+1)&amp;" and M&gt;0 order by D",0),"— nothing in this list yet —")</f>
        <v/>
      </c>
      <c r="C33" s="41" t="n"/>
      <c r="D33" s="48" t="n"/>
      <c r="E33" s="48" t="n"/>
      <c r="F33" s="48" t="n"/>
      <c r="G33" s="48" t="n"/>
      <c r="H33" s="48" t="n"/>
    </row>
    <row r="34" ht="15" customHeight="1" s="33">
      <c r="B34" s="48" t="n"/>
      <c r="C34" s="41" t="n"/>
      <c r="D34" s="48" t="n"/>
      <c r="E34" s="48" t="n"/>
      <c r="F34" s="48" t="n"/>
      <c r="G34" s="48" t="n"/>
      <c r="H34" s="48" t="n"/>
    </row>
    <row r="35" ht="15" customHeight="1" s="33">
      <c r="B35" s="48" t="n"/>
      <c r="C35" s="41" t="n"/>
      <c r="D35" s="48" t="n"/>
      <c r="E35" s="48" t="n"/>
      <c r="F35" s="48" t="n"/>
      <c r="G35" s="48" t="n"/>
      <c r="H35" s="48" t="n"/>
    </row>
    <row r="37" ht="24" customHeight="1" s="33">
      <c r="B37" s="50" t="inlineStr">
        <is>
          <t>🛒  Restock / archive — quantity = 0</t>
        </is>
      </c>
    </row>
    <row r="38" ht="15" customHeight="1" s="33">
      <c r="B38" s="47" t="inlineStr">
        <is>
          <t>Producer</t>
        </is>
      </c>
      <c r="C38" s="47" t="inlineStr">
        <is>
          <t>Wine</t>
        </is>
      </c>
      <c r="D38" s="47" t="inlineStr">
        <is>
          <t>Vintage</t>
        </is>
      </c>
      <c r="E38" s="47" t="inlineStr">
        <is>
          <t>Type</t>
        </is>
      </c>
      <c r="F38" s="47" t="inlineStr">
        <is>
          <t>Qty</t>
        </is>
      </c>
      <c r="G38" s="47" t="inlineStr">
        <is>
          <t>Win Start</t>
        </is>
      </c>
      <c r="H38" s="47" t="inlineStr">
        <is>
          <t>Win End</t>
        </is>
      </c>
      <c r="I38" s="32" t="inlineStr">
        <is>
          <t>Rating</t>
        </is>
      </c>
    </row>
    <row r="39" ht="15" customHeight="1" s="33">
      <c r="B39" s="48">
        <f>IFERROR(QUERY(Cellar!A2:AC1500,"select D,E,F,G,M,P,Q,S where M=0 order by D",0),"— nothing in this list yet —")</f>
        <v/>
      </c>
      <c r="C39" s="41" t="n"/>
      <c r="D39" s="48" t="n"/>
      <c r="E39" s="48" t="n"/>
      <c r="F39" s="48" t="n"/>
      <c r="G39" s="48" t="n"/>
      <c r="H39" s="48" t="n"/>
    </row>
    <row r="40" ht="15" customHeight="1" s="33">
      <c r="B40" s="48" t="n"/>
      <c r="C40" s="41" t="n"/>
      <c r="D40" s="48" t="n"/>
      <c r="E40" s="48" t="n"/>
      <c r="F40" s="48" t="n"/>
      <c r="G40" s="48" t="n"/>
      <c r="H40" s="48" t="n"/>
    </row>
    <row r="41" ht="15" customHeight="1" s="33">
      <c r="B41" s="48" t="n"/>
      <c r="C41" s="41" t="n"/>
      <c r="D41" s="48" t="n"/>
      <c r="E41" s="48" t="n"/>
      <c r="F41" s="48" t="n"/>
      <c r="G41" s="48" t="n"/>
      <c r="H41" s="48" t="n"/>
    </row>
    <row r="44" ht="15" customHeight="1" s="33">
      <c r="B44" s="51" t="inlineStr">
        <is>
          <t>Note: the three lists above are live QUERY formulas reading straight from the Cellar tab — they update automatically as you add bottles, change quantities, or edit drinking windows. In the live Google Sheet you can also build native Data ▸ Filter views for the same criteria (see the “Rebuild Filter Views” menu item added by the Apps Script).</t>
        </is>
      </c>
    </row>
  </sheetData>
  <mergeCells count="18">
    <mergeCell ref="D8:E8"/>
    <mergeCell ref="D6:E6"/>
    <mergeCell ref="B6:C6"/>
    <mergeCell ref="B8:C8"/>
    <mergeCell ref="B44:I44"/>
    <mergeCell ref="B15:I15"/>
    <mergeCell ref="B5:C5"/>
    <mergeCell ref="B2:I2"/>
    <mergeCell ref="F5:G5"/>
    <mergeCell ref="D5:E5"/>
    <mergeCell ref="B3:I3"/>
    <mergeCell ref="F6:G6"/>
    <mergeCell ref="B37:I37"/>
    <mergeCell ref="B31:I31"/>
    <mergeCell ref="B9:C9"/>
    <mergeCell ref="D9:E9"/>
    <mergeCell ref="F9:G9"/>
    <mergeCell ref="F8:G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0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33" min="1" max="1"/>
    <col width="32" customWidth="1" style="33" min="2" max="2"/>
    <col width="6" customWidth="1" style="33" min="3" max="3"/>
    <col width="18" customWidth="1" style="33" min="4" max="4"/>
    <col width="22" customWidth="1" style="33" min="5" max="5"/>
    <col width="8" customWidth="1" style="33" min="6" max="6"/>
    <col width="11" customWidth="1" style="33" min="7" max="7"/>
    <col width="24" customWidth="1" style="33" min="8" max="8"/>
    <col width="16" customWidth="1" style="33" min="9" max="9"/>
    <col width="12" customWidth="1" style="33" min="10" max="10"/>
    <col width="9" customWidth="1" style="33" min="11" max="11"/>
    <col width="10" customWidth="1" style="33" min="12" max="12"/>
    <col width="8" customWidth="1" style="33" min="13" max="13"/>
    <col width="13" customWidth="1" style="33" min="14" max="14"/>
    <col width="11" customWidth="1" style="33" min="15" max="15"/>
    <col width="9" customWidth="1" style="33" min="16" max="16"/>
    <col width="9" customWidth="1" style="33" min="17" max="17"/>
    <col width="11" customWidth="1" style="33" min="18" max="18"/>
    <col width="8" customWidth="1" style="33" min="19" max="19"/>
    <col width="55" customWidth="1" style="33" min="20" max="20"/>
    <col width="13" customWidth="1" style="33" min="21" max="21"/>
    <col width="12" customWidth="1" style="33" min="22" max="22"/>
    <col width="8" customWidth="1" style="33" min="23" max="23"/>
    <col width="7" customWidth="1" style="33" min="24" max="24"/>
    <col width="7" customWidth="1" style="33" min="25" max="25"/>
    <col width="8" customWidth="1" style="33" min="26" max="26"/>
    <col width="9" customWidth="1" style="33" min="27" max="27"/>
    <col width="16" customWidth="1" style="33" min="28" max="28"/>
    <col width="18" customWidth="1" style="33" min="29" max="29"/>
  </cols>
  <sheetData>
    <row r="1" ht="30" customHeight="1" s="33">
      <c r="A1" s="66" t="inlineStr">
        <is>
          <t>Photo</t>
        </is>
      </c>
      <c r="B1" s="66" t="inlineStr">
        <is>
          <t>Label Photo (URL)</t>
        </is>
      </c>
      <c r="C1" s="66" t="inlineStr">
        <is>
          <t>ID</t>
        </is>
      </c>
      <c r="D1" s="66" t="inlineStr">
        <is>
          <t>Producer</t>
        </is>
      </c>
      <c r="E1" s="66" t="inlineStr">
        <is>
          <t>Wine Name</t>
        </is>
      </c>
      <c r="F1" s="66" t="inlineStr">
        <is>
          <t>Vintage</t>
        </is>
      </c>
      <c r="G1" s="66" t="inlineStr">
        <is>
          <t>Type</t>
        </is>
      </c>
      <c r="H1" s="66" t="inlineStr">
        <is>
          <t>Grape(s)</t>
        </is>
      </c>
      <c r="I1" s="66" t="inlineStr">
        <is>
          <t>Region</t>
        </is>
      </c>
      <c r="J1" s="66" t="inlineStr">
        <is>
          <t>Country</t>
        </is>
      </c>
      <c r="K1" s="66" t="inlineStr">
        <is>
          <t>Alcohol %</t>
        </is>
      </c>
      <c r="L1" s="66" t="inlineStr">
        <is>
          <t>Bottle Size</t>
        </is>
      </c>
      <c r="M1" s="66" t="inlineStr">
        <is>
          <t>Quantity</t>
        </is>
      </c>
      <c r="N1" s="66" t="inlineStr">
        <is>
          <t>Purchase Date</t>
        </is>
      </c>
      <c r="O1" s="66" t="inlineStr">
        <is>
          <t>Purchase Price</t>
        </is>
      </c>
      <c r="P1" s="66" t="inlineStr">
        <is>
          <t>Drinking Window Start</t>
        </is>
      </c>
      <c r="Q1" s="66" t="inlineStr">
        <is>
          <t>Drinking Window End</t>
        </is>
      </c>
      <c r="R1" s="66" t="inlineStr">
        <is>
          <t>Status</t>
        </is>
      </c>
      <c r="S1" s="66" t="inlineStr">
        <is>
          <t>Personal Rating</t>
        </is>
      </c>
      <c r="T1" s="66" t="inlineStr">
        <is>
          <t>Reviews &amp; Notes</t>
        </is>
      </c>
      <c r="U1" s="66" t="inlineStr">
        <is>
          <t>Last Updated</t>
        </is>
      </c>
      <c r="V1" s="66" t="inlineStr">
        <is>
          <t>Drink Status</t>
        </is>
      </c>
      <c r="W1" s="66" t="inlineStr">
        <is>
          <t>Halliday</t>
        </is>
      </c>
      <c r="X1" s="66" t="inlineStr">
        <is>
          <t>Hook</t>
        </is>
      </c>
      <c r="Y1" s="66" t="inlineStr">
        <is>
          <t>RP</t>
        </is>
      </c>
      <c r="Z1" s="66" t="inlineStr">
        <is>
          <t>Larkin</t>
        </is>
      </c>
      <c r="AA1" s="66" t="inlineStr">
        <is>
          <t>My Score</t>
        </is>
      </c>
      <c r="AB1" s="66" t="inlineStr">
        <is>
          <t>Others</t>
        </is>
      </c>
      <c r="AC1" s="66" t="inlineStr">
        <is>
          <t>Storage Location</t>
        </is>
      </c>
    </row>
    <row r="2">
      <c r="A2" s="32">
        <f>IF($B2="","",IFERROR(IMAGE($B2,4,60,60),""))</f>
        <v/>
      </c>
      <c r="B2" s="32" t="inlineStr">
        <is>
          <t>https://example.com/cellar-labels/penfolds-grange.jpg</t>
        </is>
      </c>
      <c r="C2" s="32" t="n">
        <v>1</v>
      </c>
      <c r="D2" s="32" t="inlineStr">
        <is>
          <t>Penfolds</t>
        </is>
      </c>
      <c r="E2" s="32" t="inlineStr">
        <is>
          <t>Grange</t>
        </is>
      </c>
      <c r="F2" s="32" t="n">
        <v>2016</v>
      </c>
      <c r="G2" s="32" t="inlineStr">
        <is>
          <t>Red</t>
        </is>
      </c>
      <c r="H2" s="32" t="inlineStr">
        <is>
          <t>Shiraz</t>
        </is>
      </c>
      <c r="I2" s="32" t="inlineStr">
        <is>
          <t>South Australia</t>
        </is>
      </c>
      <c r="J2" s="32" t="inlineStr">
        <is>
          <t>Australia</t>
        </is>
      </c>
      <c r="K2" s="32" t="n">
        <v>14.5</v>
      </c>
      <c r="L2" s="32" t="inlineStr">
        <is>
          <t>750ml</t>
        </is>
      </c>
      <c r="M2" s="32" t="n">
        <v>3</v>
      </c>
      <c r="N2" s="69" t="n">
        <v>43963</v>
      </c>
      <c r="O2" s="32" t="n">
        <v>950</v>
      </c>
      <c r="P2" s="32" t="n">
        <v>2024</v>
      </c>
      <c r="Q2" s="32" t="n">
        <v>2050</v>
      </c>
      <c r="R2" s="32" t="inlineStr">
        <is>
          <t>In Cellar</t>
        </is>
      </c>
      <c r="S2" s="32" t="n">
        <v>5</v>
      </c>
      <c r="T2" s="68" t="inlineStr">
        <is>
          <t>Dense, brooding Barossa/McLaren blend; still coiled. Decades ahead.</t>
        </is>
      </c>
      <c r="U2" s="69" t="n">
        <v>46201</v>
      </c>
      <c r="V2" s="32">
        <f>IF($M2="","",IF($M2=0,"Out of stock",IF(OR($P2="",$Q2=""),"No window",IF(YEAR(TODAY())&lt;$P2,"Too young",IF(YEAR(TODAY())&gt;$Q2,"Past peak",IF(YEAR(TODAY())=$Q2,"Drink now","Ready"))))))</f>
        <v/>
      </c>
      <c r="W2" s="32" t="n">
        <v>99</v>
      </c>
      <c r="X2" s="32" t="n">
        <v>96</v>
      </c>
      <c r="Y2" s="32" t="n">
        <v>98</v>
      </c>
      <c r="Z2" s="32" t="n">
        <v>97</v>
      </c>
      <c r="AA2" s="32" t="n">
        <v>96</v>
      </c>
      <c r="AB2" s="32" t="inlineStr">
        <is>
          <t>Wine Spectator 97</t>
        </is>
      </c>
      <c r="AC2" s="32" t="inlineStr">
        <is>
          <t>Rack A – Row 1</t>
        </is>
      </c>
    </row>
    <row r="3">
      <c r="A3" s="32">
        <f>IF($B3="","",IFERROR(IMAGE($B3,4,60,60),""))</f>
        <v/>
      </c>
      <c r="B3" s="32" t="inlineStr">
        <is>
          <t>https://example.com/cellar-labels/henschke-hog.jpg</t>
        </is>
      </c>
      <c r="C3" s="32" t="n">
        <v>2</v>
      </c>
      <c r="D3" s="32" t="inlineStr">
        <is>
          <t>Henschke</t>
        </is>
      </c>
      <c r="E3" s="32" t="inlineStr">
        <is>
          <t>Hill of Grace</t>
        </is>
      </c>
      <c r="F3" s="32" t="n">
        <v>2015</v>
      </c>
      <c r="G3" s="32" t="inlineStr">
        <is>
          <t>Red</t>
        </is>
      </c>
      <c r="H3" s="32" t="inlineStr">
        <is>
          <t>Shiraz</t>
        </is>
      </c>
      <c r="I3" s="32" t="inlineStr">
        <is>
          <t>Eden Valley</t>
        </is>
      </c>
      <c r="J3" s="32" t="inlineStr">
        <is>
          <t>Australia</t>
        </is>
      </c>
      <c r="K3" s="32" t="n">
        <v>14</v>
      </c>
      <c r="L3" s="32" t="inlineStr">
        <is>
          <t>750ml</t>
        </is>
      </c>
      <c r="M3" s="32" t="n">
        <v>2</v>
      </c>
      <c r="N3" s="69" t="n">
        <v>43772</v>
      </c>
      <c r="O3" s="32" t="n">
        <v>850</v>
      </c>
      <c r="P3" s="32" t="n">
        <v>2025</v>
      </c>
      <c r="Q3" s="32" t="n">
        <v>2045</v>
      </c>
      <c r="R3" s="32" t="inlineStr">
        <is>
          <t>In Cellar</t>
        </is>
      </c>
      <c r="S3" s="32" t="n">
        <v>5</v>
      </c>
      <c r="T3" s="68" t="inlineStr">
        <is>
          <t>Old-vine single-vineyard. Silky tannins, layered spice. A benchmark.</t>
        </is>
      </c>
      <c r="U3" s="69" t="n">
        <v>46201</v>
      </c>
      <c r="V3" s="32">
        <f>IF($M3="","",IF($M3=0,"Out of stock",IF(OR($P3="",$Q3=""),"No window",IF(YEAR(TODAY())&lt;$P3,"Too young",IF(YEAR(TODAY())&gt;$Q3,"Past peak",IF(YEAR(TODAY())=$Q3,"Drink now","Ready"))))))</f>
        <v/>
      </c>
      <c r="W3" s="32" t="n">
        <v>98</v>
      </c>
      <c r="X3" s="32" t="n">
        <v>97</v>
      </c>
      <c r="Y3" s="32" t="n">
        <v>97</v>
      </c>
      <c r="Z3" s="32" t="n">
        <v>96</v>
      </c>
      <c r="AA3" s="32" t="n">
        <v>97</v>
      </c>
      <c r="AC3" s="32" t="inlineStr">
        <is>
          <t>Rack A – Row 1</t>
        </is>
      </c>
    </row>
    <row r="4">
      <c r="A4" s="32">
        <f>IF($B4="","",IFERROR(IMAGE($B4,4,60,60),""))</f>
        <v/>
      </c>
      <c r="B4" s="32" t="inlineStr">
        <is>
          <t>https://example.com/cellar-labels/leeuwin-chard.jpg</t>
        </is>
      </c>
      <c r="C4" s="32" t="n">
        <v>3</v>
      </c>
      <c r="D4" s="32" t="inlineStr">
        <is>
          <t>Leeuwin Estate</t>
        </is>
      </c>
      <c r="E4" s="32" t="inlineStr">
        <is>
          <t>Art Series Chardonnay</t>
        </is>
      </c>
      <c r="F4" s="32" t="n">
        <v>2019</v>
      </c>
      <c r="G4" s="32" t="inlineStr">
        <is>
          <t>White</t>
        </is>
      </c>
      <c r="H4" s="32" t="inlineStr">
        <is>
          <t>Chardonnay</t>
        </is>
      </c>
      <c r="I4" s="32" t="inlineStr">
        <is>
          <t>Margaret River</t>
        </is>
      </c>
      <c r="J4" s="32" t="inlineStr">
        <is>
          <t>Australia</t>
        </is>
      </c>
      <c r="K4" s="32" t="n">
        <v>13.5</v>
      </c>
      <c r="L4" s="32" t="inlineStr">
        <is>
          <t>750ml</t>
        </is>
      </c>
      <c r="M4" s="32" t="n">
        <v>6</v>
      </c>
      <c r="N4" s="69" t="n">
        <v>44638</v>
      </c>
      <c r="O4" s="32" t="n">
        <v>110</v>
      </c>
      <c r="P4" s="32" t="n">
        <v>2022</v>
      </c>
      <c r="Q4" s="32" t="n">
        <v>2032</v>
      </c>
      <c r="R4" s="32" t="inlineStr">
        <is>
          <t>In Cellar</t>
        </is>
      </c>
      <c r="S4" s="32" t="n">
        <v>5</v>
      </c>
      <c r="T4" s="68" t="inlineStr">
        <is>
          <t>Flinty, citrus-driven, long. Best Aus chardonnay style.</t>
        </is>
      </c>
      <c r="U4" s="69" t="n">
        <v>46201</v>
      </c>
      <c r="V4" s="32">
        <f>IF($M4="","",IF($M4=0,"Out of stock",IF(OR($P4="",$Q4=""),"No window",IF(YEAR(TODAY())&lt;$P4,"Too young",IF(YEAR(TODAY())&gt;$Q4,"Past peak",IF(YEAR(TODAY())=$Q4,"Drink now","Ready"))))))</f>
        <v/>
      </c>
      <c r="W4" s="32" t="n">
        <v>97</v>
      </c>
      <c r="X4" s="32" t="n">
        <v>95</v>
      </c>
      <c r="Y4" s="32" t="n">
        <v>94</v>
      </c>
      <c r="Z4" s="32" t="n">
        <v>95</v>
      </c>
      <c r="AA4" s="32" t="n">
        <v>95</v>
      </c>
      <c r="AC4" s="32" t="inlineStr">
        <is>
          <t>Fridge – Shelf 2</t>
        </is>
      </c>
    </row>
    <row r="5">
      <c r="A5" s="32">
        <f>IF($B5="","",IFERROR(IMAGE($B5,4,60,60),""))</f>
        <v/>
      </c>
      <c r="B5" s="32" t="inlineStr">
        <is>
          <t>https://example.com/cellar-labels/cullen-dm.jpg</t>
        </is>
      </c>
      <c r="C5" s="32" t="n">
        <v>4</v>
      </c>
      <c r="D5" s="32" t="inlineStr">
        <is>
          <t>Cullen</t>
        </is>
      </c>
      <c r="E5" s="32" t="inlineStr">
        <is>
          <t>Diana Madeline</t>
        </is>
      </c>
      <c r="F5" s="32" t="n">
        <v>2018</v>
      </c>
      <c r="G5" s="32" t="inlineStr">
        <is>
          <t>Red</t>
        </is>
      </c>
      <c r="H5" s="32" t="inlineStr">
        <is>
          <t>Cabernet Sauvignon / Merlot</t>
        </is>
      </c>
      <c r="I5" s="32" t="inlineStr">
        <is>
          <t>Margaret River</t>
        </is>
      </c>
      <c r="J5" s="32" t="inlineStr">
        <is>
          <t>Australia</t>
        </is>
      </c>
      <c r="K5" s="32" t="n">
        <v>14</v>
      </c>
      <c r="L5" s="32" t="inlineStr">
        <is>
          <t>750ml</t>
        </is>
      </c>
      <c r="M5" s="32" t="n">
        <v>4</v>
      </c>
      <c r="N5" s="69" t="n">
        <v>44356</v>
      </c>
      <c r="O5" s="32" t="n">
        <v>130</v>
      </c>
      <c r="P5" s="32" t="n">
        <v>2024</v>
      </c>
      <c r="Q5" s="32" t="n">
        <v>2038</v>
      </c>
      <c r="R5" s="32" t="inlineStr">
        <is>
          <t>In Cellar</t>
        </is>
      </c>
      <c r="S5" s="32" t="n">
        <v>4</v>
      </c>
      <c r="T5" s="68" t="inlineStr">
        <is>
          <t>Biodynamic cabernet blend; fine gravelly tannins, cassis and herb.</t>
        </is>
      </c>
      <c r="U5" s="69" t="n">
        <v>46201</v>
      </c>
      <c r="V5" s="32">
        <f>IF($M5="","",IF($M5=0,"Out of stock",IF(OR($P5="",$Q5=""),"No window",IF(YEAR(TODAY())&lt;$P5,"Too young",IF(YEAR(TODAY())&gt;$Q5,"Past peak",IF(YEAR(TODAY())=$Q5,"Drink now","Ready"))))))</f>
        <v/>
      </c>
      <c r="W5" s="32" t="n">
        <v>97</v>
      </c>
      <c r="X5" s="32" t="n">
        <v>96</v>
      </c>
      <c r="Y5" s="32" t="n">
        <v>95</v>
      </c>
      <c r="Z5" s="32" t="n">
        <v>96</v>
      </c>
      <c r="AA5" s="32" t="n">
        <v>94</v>
      </c>
      <c r="AC5" s="32" t="inlineStr">
        <is>
          <t>Rack B – Row 2</t>
        </is>
      </c>
    </row>
    <row r="6">
      <c r="A6" s="32">
        <f>IF($B6="","",IFERROR(IMAGE($B6,4,60,60),""))</f>
        <v/>
      </c>
      <c r="B6" s="32" t="inlineStr">
        <is>
          <t>https://example.com/cellar-labels/grosset-ph.jpg</t>
        </is>
      </c>
      <c r="C6" s="32" t="n">
        <v>5</v>
      </c>
      <c r="D6" s="32" t="inlineStr">
        <is>
          <t>Grosset</t>
        </is>
      </c>
      <c r="E6" s="32" t="inlineStr">
        <is>
          <t>Polish Hill Riesling</t>
        </is>
      </c>
      <c r="F6" s="32" t="n">
        <v>2021</v>
      </c>
      <c r="G6" s="32" t="inlineStr">
        <is>
          <t>White</t>
        </is>
      </c>
      <c r="H6" s="32" t="inlineStr">
        <is>
          <t>Riesling</t>
        </is>
      </c>
      <c r="I6" s="32" t="inlineStr">
        <is>
          <t>Clare Valley</t>
        </is>
      </c>
      <c r="J6" s="32" t="inlineStr">
        <is>
          <t>Australia</t>
        </is>
      </c>
      <c r="K6" s="32" t="n">
        <v>12.5</v>
      </c>
      <c r="L6" s="32" t="inlineStr">
        <is>
          <t>750ml</t>
        </is>
      </c>
      <c r="M6" s="32" t="n">
        <v>12</v>
      </c>
      <c r="N6" s="69" t="n">
        <v>44806</v>
      </c>
      <c r="O6" s="32" t="n">
        <v>55</v>
      </c>
      <c r="P6" s="32" t="n">
        <v>2023</v>
      </c>
      <c r="Q6" s="32" t="n">
        <v>2035</v>
      </c>
      <c r="R6" s="32" t="inlineStr">
        <is>
          <t>In Cellar</t>
        </is>
      </c>
      <c r="S6" s="32" t="n">
        <v>5</v>
      </c>
      <c r="T6" s="68" t="inlineStr">
        <is>
          <t>Racy, lime and slate, bone-dry. Ages beautifully.</t>
        </is>
      </c>
      <c r="U6" s="69" t="n">
        <v>46201</v>
      </c>
      <c r="V6" s="32">
        <f>IF($M6="","",IF($M6=0,"Out of stock",IF(OR($P6="",$Q6=""),"No window",IF(YEAR(TODAY())&lt;$P6,"Too young",IF(YEAR(TODAY())&gt;$Q6,"Past peak",IF(YEAR(TODAY())=$Q6,"Drink now","Ready"))))))</f>
        <v/>
      </c>
      <c r="W6" s="32" t="n">
        <v>97</v>
      </c>
      <c r="X6" s="32" t="n">
        <v>96</v>
      </c>
      <c r="Z6" s="32" t="n">
        <v>95</v>
      </c>
      <c r="AA6" s="32" t="n">
        <v>95</v>
      </c>
      <c r="AC6" s="32" t="inlineStr">
        <is>
          <t>Fridge – Shelf 1</t>
        </is>
      </c>
    </row>
    <row r="7">
      <c r="A7" s="32">
        <f>IF($B7="","",IFERROR(IMAGE($B7,4,60,60),""))</f>
        <v/>
      </c>
      <c r="B7" s="32" t="inlineStr">
        <is>
          <t>https://example.com/cellar-labels/chateau-margaux.jpg</t>
        </is>
      </c>
      <c r="C7" s="32" t="n">
        <v>6</v>
      </c>
      <c r="D7" s="32" t="inlineStr">
        <is>
          <t>Château Margaux</t>
        </is>
      </c>
      <c r="E7" s="32" t="inlineStr">
        <is>
          <t>Grand Vin</t>
        </is>
      </c>
      <c r="F7" s="32" t="n">
        <v>2015</v>
      </c>
      <c r="G7" s="32" t="inlineStr">
        <is>
          <t>Red</t>
        </is>
      </c>
      <c r="H7" s="32" t="inlineStr">
        <is>
          <t>Cabernet blend</t>
        </is>
      </c>
      <c r="I7" s="32" t="inlineStr">
        <is>
          <t>Bordeaux</t>
        </is>
      </c>
      <c r="J7" s="32" t="inlineStr">
        <is>
          <t>France</t>
        </is>
      </c>
      <c r="K7" s="32" t="n">
        <v>13.5</v>
      </c>
      <c r="L7" s="32" t="inlineStr">
        <is>
          <t>750ml</t>
        </is>
      </c>
      <c r="M7" s="32" t="n">
        <v>2</v>
      </c>
      <c r="N7" s="69" t="n">
        <v>43393</v>
      </c>
      <c r="O7" s="32" t="n">
        <v>1200</v>
      </c>
      <c r="P7" s="32" t="n">
        <v>2027</v>
      </c>
      <c r="Q7" s="32" t="n">
        <v>2055</v>
      </c>
      <c r="R7" s="32" t="inlineStr">
        <is>
          <t>In Cellar</t>
        </is>
      </c>
      <c r="S7" s="32" t="n">
        <v>4</v>
      </c>
      <c r="T7" s="68" t="inlineStr">
        <is>
          <t>Classic Margaux perfume; needs time to unfurl. Just entering window.</t>
        </is>
      </c>
      <c r="U7" s="69" t="n">
        <v>46201</v>
      </c>
      <c r="V7" s="32">
        <f>IF($M7="","",IF($M7=0,"Out of stock",IF(OR($P7="",$Q7=""),"No window",IF(YEAR(TODAY())&lt;$P7,"Too young",IF(YEAR(TODAY())&gt;$Q7,"Past peak",IF(YEAR(TODAY())=$Q7,"Drink now","Ready"))))))</f>
        <v/>
      </c>
      <c r="Y7" s="32" t="n">
        <v>99</v>
      </c>
      <c r="AB7" s="32" t="inlineStr">
        <is>
          <t>Vinous 98</t>
        </is>
      </c>
      <c r="AC7" s="32" t="inlineStr">
        <is>
          <t>Rack C – Row 1</t>
        </is>
      </c>
    </row>
    <row r="8">
      <c r="A8" s="32">
        <f>IF($B8="","",IFERROR(IMAGE($B8,4,60,60),""))</f>
        <v/>
      </c>
      <c r="B8" s="32" t="inlineStr">
        <is>
          <t>https://example.com/cellar-labels/leflaive-puligny.jpg</t>
        </is>
      </c>
      <c r="C8" s="32" t="n">
        <v>7</v>
      </c>
      <c r="D8" s="32" t="inlineStr">
        <is>
          <t>Domaine Leflaive</t>
        </is>
      </c>
      <c r="E8" s="32" t="inlineStr">
        <is>
          <t>Puligny-Montrachet</t>
        </is>
      </c>
      <c r="F8" s="32" t="n">
        <v>2019</v>
      </c>
      <c r="G8" s="32" t="inlineStr">
        <is>
          <t>White</t>
        </is>
      </c>
      <c r="H8" s="32" t="inlineStr">
        <is>
          <t>Chardonnay</t>
        </is>
      </c>
      <c r="I8" s="32" t="inlineStr">
        <is>
          <t>Burgundy</t>
        </is>
      </c>
      <c r="J8" s="32" t="inlineStr">
        <is>
          <t>France</t>
        </is>
      </c>
      <c r="K8" s="32" t="n">
        <v>13</v>
      </c>
      <c r="L8" s="32" t="inlineStr">
        <is>
          <t>750ml</t>
        </is>
      </c>
      <c r="M8" s="32" t="n">
        <v>3</v>
      </c>
      <c r="N8" s="69" t="n">
        <v>44575</v>
      </c>
      <c r="O8" s="32" t="n">
        <v>350</v>
      </c>
      <c r="P8" s="32" t="n">
        <v>2023</v>
      </c>
      <c r="Q8" s="32" t="n">
        <v>2030</v>
      </c>
      <c r="R8" s="32" t="inlineStr">
        <is>
          <t>In Cellar</t>
        </is>
      </c>
      <c r="S8" s="32" t="n">
        <v>4</v>
      </c>
      <c r="T8" s="68" t="inlineStr">
        <is>
          <t>Nutty, mineral white Burgundy; drinking well now.</t>
        </is>
      </c>
      <c r="U8" s="69" t="n">
        <v>46201</v>
      </c>
      <c r="V8" s="32">
        <f>IF($M8="","",IF($M8=0,"Out of stock",IF(OR($P8="",$Q8=""),"No window",IF(YEAR(TODAY())&lt;$P8,"Too young",IF(YEAR(TODAY())&gt;$Q8,"Past peak",IF(YEAR(TODAY())=$Q8,"Drink now","Ready"))))))</f>
        <v/>
      </c>
      <c r="Y8" s="32" t="n">
        <v>95</v>
      </c>
      <c r="AA8" s="32" t="n">
        <v>93</v>
      </c>
      <c r="AB8" s="32" t="inlineStr">
        <is>
          <t>Burghound 92</t>
        </is>
      </c>
      <c r="AC8" s="32" t="inlineStr">
        <is>
          <t>Fridge – Shelf 2</t>
        </is>
      </c>
    </row>
    <row r="9">
      <c r="A9" s="32">
        <f>IF($B9="","",IFERROR(IMAGE($B9,4,60,60),""))</f>
        <v/>
      </c>
      <c r="B9" s="32" t="inlineStr">
        <is>
          <t>https://example.com/cellar-labels/cloudy-bay-sb.jpg</t>
        </is>
      </c>
      <c r="C9" s="32" t="n">
        <v>8</v>
      </c>
      <c r="D9" s="32" t="inlineStr">
        <is>
          <t>Cloudy Bay</t>
        </is>
      </c>
      <c r="E9" s="32" t="inlineStr">
        <is>
          <t>Sauvignon Blanc</t>
        </is>
      </c>
      <c r="F9" s="32" t="n">
        <v>2022</v>
      </c>
      <c r="G9" s="32" t="inlineStr">
        <is>
          <t>White</t>
        </is>
      </c>
      <c r="H9" s="32" t="inlineStr">
        <is>
          <t>Sauvignon Blanc</t>
        </is>
      </c>
      <c r="I9" s="32" t="inlineStr">
        <is>
          <t>Marlborough</t>
        </is>
      </c>
      <c r="J9" s="32" t="inlineStr">
        <is>
          <t>New Zealand</t>
        </is>
      </c>
      <c r="K9" s="32" t="n">
        <v>13</v>
      </c>
      <c r="L9" s="32" t="inlineStr">
        <is>
          <t>750ml</t>
        </is>
      </c>
      <c r="M9" s="32" t="n">
        <v>0</v>
      </c>
      <c r="N9" s="69" t="n">
        <v>44965</v>
      </c>
      <c r="O9" s="32" t="n">
        <v>38</v>
      </c>
      <c r="P9" s="32" t="n">
        <v>2023</v>
      </c>
      <c r="Q9" s="32" t="n">
        <v>2026</v>
      </c>
      <c r="R9" s="32" t="inlineStr">
        <is>
          <t>Archived</t>
        </is>
      </c>
      <c r="S9" s="32" t="n">
        <v>4</v>
      </c>
      <c r="T9" s="68" t="inlineStr">
        <is>
          <t>Zesty passionfruit and cut grass. Drink young — cellar now empty.</t>
        </is>
      </c>
      <c r="U9" s="69" t="n">
        <v>46201</v>
      </c>
      <c r="V9" s="32">
        <f>IF($M9="","",IF($M9=0,"Out of stock",IF(OR($P9="",$Q9=""),"No window",IF(YEAR(TODAY())&lt;$P9,"Too young",IF(YEAR(TODAY())&gt;$Q9,"Past peak",IF(YEAR(TODAY())=$Q9,"Drink now","Ready"))))))</f>
        <v/>
      </c>
      <c r="W9" s="32" t="n">
        <v>92</v>
      </c>
      <c r="X9" s="32" t="n">
        <v>91</v>
      </c>
      <c r="AA9" s="32" t="n">
        <v>90</v>
      </c>
      <c r="AC9" s="32" t="inlineStr">
        <is>
          <t>Fridge – Shelf 3</t>
        </is>
      </c>
    </row>
    <row r="10">
      <c r="A10" s="32">
        <f>IF($B10="","",IFERROR(IMAGE($B10,4,60,60),""))</f>
        <v/>
      </c>
      <c r="B10" s="32" t="inlineStr">
        <is>
          <t>https://example.com/cellar-labels/billecart-rose.jpg</t>
        </is>
      </c>
      <c r="C10" s="32" t="n">
        <v>9</v>
      </c>
      <c r="D10" s="32" t="inlineStr">
        <is>
          <t>Billecart-Salmon</t>
        </is>
      </c>
      <c r="E10" s="32" t="inlineStr">
        <is>
          <t>Brut Rosé</t>
        </is>
      </c>
      <c r="F10" s="32" t="inlineStr">
        <is>
          <t>NV</t>
        </is>
      </c>
      <c r="G10" s="32" t="inlineStr">
        <is>
          <t>Sparkling</t>
        </is>
      </c>
      <c r="H10" s="32" t="inlineStr">
        <is>
          <t>Pinot Noir / Chardonnay / Meunier</t>
        </is>
      </c>
      <c r="I10" s="32" t="inlineStr">
        <is>
          <t>Champagne</t>
        </is>
      </c>
      <c r="J10" s="32" t="inlineStr">
        <is>
          <t>France</t>
        </is>
      </c>
      <c r="K10" s="32" t="n">
        <v>12</v>
      </c>
      <c r="L10" s="32" t="inlineStr">
        <is>
          <t>750ml</t>
        </is>
      </c>
      <c r="M10" s="32" t="n">
        <v>6</v>
      </c>
      <c r="N10" s="69" t="n">
        <v>45261</v>
      </c>
      <c r="O10" s="32" t="n">
        <v>120</v>
      </c>
      <c r="P10" s="32" t="n">
        <v>2024</v>
      </c>
      <c r="Q10" s="32" t="n">
        <v>2028</v>
      </c>
      <c r="R10" s="32" t="inlineStr">
        <is>
          <t>In Cellar</t>
        </is>
      </c>
      <c r="S10" s="32" t="n">
        <v>4</v>
      </c>
      <c r="T10" s="68" t="inlineStr">
        <is>
          <t>Delicate salmon-pink; red-berry finesse. Party-ready.</t>
        </is>
      </c>
      <c r="U10" s="69" t="n">
        <v>46201</v>
      </c>
      <c r="V10" s="32">
        <f>IF($M10="","",IF($M10=0,"Out of stock",IF(OR($P10="",$Q10=""),"No window",IF(YEAR(TODAY())&lt;$P10,"Too young",IF(YEAR(TODAY())&gt;$Q10,"Past peak",IF(YEAR(TODAY())=$Q10,"Drink now","Ready"))))))</f>
        <v/>
      </c>
      <c r="Y10" s="32" t="n">
        <v>93</v>
      </c>
      <c r="AA10" s="32" t="n">
        <v>93</v>
      </c>
      <c r="AB10" s="32" t="inlineStr">
        <is>
          <t>Decanter 94</t>
        </is>
      </c>
      <c r="AC10" s="32" t="inlineStr">
        <is>
          <t>Fridge – Door</t>
        </is>
      </c>
    </row>
    <row r="11">
      <c r="A11" s="32">
        <f>IF($B11="","",IFERROR(IMAGE($B11,4,60,60),""))</f>
        <v/>
      </c>
      <c r="B11" s="32" t="inlineStr">
        <is>
          <t>https://example.com/cellar-labels/bollinger-sc.jpg</t>
        </is>
      </c>
      <c r="C11" s="32" t="n">
        <v>10</v>
      </c>
      <c r="D11" s="32" t="inlineStr">
        <is>
          <t>Bollinger</t>
        </is>
      </c>
      <c r="E11" s="32" t="inlineStr">
        <is>
          <t>Special Cuvée</t>
        </is>
      </c>
      <c r="F11" s="32" t="inlineStr">
        <is>
          <t>NV</t>
        </is>
      </c>
      <c r="G11" s="32" t="inlineStr">
        <is>
          <t>Sparkling</t>
        </is>
      </c>
      <c r="H11" s="32" t="inlineStr">
        <is>
          <t>Pinot Noir / Chardonnay / Meunier</t>
        </is>
      </c>
      <c r="I11" s="32" t="inlineStr">
        <is>
          <t>Champagne</t>
        </is>
      </c>
      <c r="J11" s="32" t="inlineStr">
        <is>
          <t>France</t>
        </is>
      </c>
      <c r="K11" s="32" t="n">
        <v>12</v>
      </c>
      <c r="L11" s="32" t="inlineStr">
        <is>
          <t>750ml</t>
        </is>
      </c>
      <c r="M11" s="32" t="n">
        <v>8</v>
      </c>
      <c r="N11" s="69" t="n">
        <v>45261</v>
      </c>
      <c r="O11" s="32" t="n">
        <v>90</v>
      </c>
      <c r="P11" s="32" t="n">
        <v>2024</v>
      </c>
      <c r="Q11" s="32" t="n">
        <v>2027</v>
      </c>
      <c r="R11" s="32" t="inlineStr">
        <is>
          <t>In Cellar</t>
        </is>
      </c>
      <c r="S11" s="32" t="n">
        <v>4</v>
      </c>
      <c r="T11" s="68" t="inlineStr">
        <is>
          <t>Rich, biscuity house style. Everyday celebration bottle.</t>
        </is>
      </c>
      <c r="U11" s="69" t="n">
        <v>46201</v>
      </c>
      <c r="V11" s="32">
        <f>IF($M11="","",IF($M11=0,"Out of stock",IF(OR($P11="",$Q11=""),"No window",IF(YEAR(TODAY())&lt;$P11,"Too young",IF(YEAR(TODAY())&gt;$Q11,"Past peak",IF(YEAR(TODAY())=$Q11,"Drink now","Ready"))))))</f>
        <v/>
      </c>
      <c r="Y11" s="32" t="n">
        <v>91</v>
      </c>
      <c r="AA11" s="32" t="n">
        <v>92</v>
      </c>
      <c r="AC11" s="32" t="inlineStr">
        <is>
          <t>Fridge – Door</t>
        </is>
      </c>
    </row>
    <row r="12">
      <c r="A12" s="32">
        <f>IF($B12="","",IFERROR(IMAGE($B12,4,60,60),""))</f>
        <v/>
      </c>
      <c r="B12" s="32" t="inlineStr">
        <is>
          <t>https://example.com/cellar-labels/tyrrells-vat1.jpg</t>
        </is>
      </c>
      <c r="C12" s="32" t="n">
        <v>11</v>
      </c>
      <c r="D12" s="32" t="inlineStr">
        <is>
          <t>Tyrrell's</t>
        </is>
      </c>
      <c r="E12" s="32" t="inlineStr">
        <is>
          <t>Vat 1 Semillon</t>
        </is>
      </c>
      <c r="F12" s="32" t="n">
        <v>2017</v>
      </c>
      <c r="G12" s="32" t="inlineStr">
        <is>
          <t>White</t>
        </is>
      </c>
      <c r="H12" s="32" t="inlineStr">
        <is>
          <t>Semillon</t>
        </is>
      </c>
      <c r="I12" s="32" t="inlineStr">
        <is>
          <t>Hunter Valley</t>
        </is>
      </c>
      <c r="J12" s="32" t="inlineStr">
        <is>
          <t>Australia</t>
        </is>
      </c>
      <c r="K12" s="32" t="n">
        <v>11</v>
      </c>
      <c r="L12" s="32" t="inlineStr">
        <is>
          <t>750ml</t>
        </is>
      </c>
      <c r="M12" s="32" t="n">
        <v>4</v>
      </c>
      <c r="N12" s="69" t="n">
        <v>43577</v>
      </c>
      <c r="O12" s="32" t="n">
        <v>70</v>
      </c>
      <c r="P12" s="32" t="n">
        <v>2027</v>
      </c>
      <c r="Q12" s="32" t="n">
        <v>2040</v>
      </c>
      <c r="R12" s="32" t="inlineStr">
        <is>
          <t>In Cellar</t>
        </is>
      </c>
      <c r="S12" s="32" t="n">
        <v>5</v>
      </c>
      <c r="T12" s="68" t="inlineStr">
        <is>
          <t>Low-alcohol Hunter classic; builds toast and honey with age.</t>
        </is>
      </c>
      <c r="U12" s="69" t="n">
        <v>46201</v>
      </c>
      <c r="V12" s="32">
        <f>IF($M12="","",IF($M12=0,"Out of stock",IF(OR($P12="",$Q12=""),"No window",IF(YEAR(TODAY())&lt;$P12,"Too young",IF(YEAR(TODAY())&gt;$Q12,"Past peak",IF(YEAR(TODAY())=$Q12,"Drink now","Ready"))))))</f>
        <v/>
      </c>
      <c r="W12" s="32" t="n">
        <v>97</v>
      </c>
      <c r="X12" s="32" t="n">
        <v>96</v>
      </c>
      <c r="Z12" s="32" t="n">
        <v>95</v>
      </c>
      <c r="AC12" s="32" t="inlineStr">
        <is>
          <t>Rack B – Row 3</t>
        </is>
      </c>
    </row>
    <row r="13">
      <c r="A13" s="32">
        <f>IF($B13="","",IFERROR(IMAGE($B13,4,60,60),""))</f>
        <v/>
      </c>
      <c r="B13" s="32" t="inlineStr">
        <is>
          <t>https://example.com/cellar-labels/wynns-jr.jpg</t>
        </is>
      </c>
      <c r="C13" s="32" t="n">
        <v>12</v>
      </c>
      <c r="D13" s="32" t="inlineStr">
        <is>
          <t>Wynns</t>
        </is>
      </c>
      <c r="E13" s="32" t="inlineStr">
        <is>
          <t>John Riddoch Cabernet</t>
        </is>
      </c>
      <c r="F13" s="32" t="n">
        <v>2018</v>
      </c>
      <c r="G13" s="32" t="inlineStr">
        <is>
          <t>Red</t>
        </is>
      </c>
      <c r="H13" s="32" t="inlineStr">
        <is>
          <t>Cabernet Sauvignon</t>
        </is>
      </c>
      <c r="I13" s="32" t="inlineStr">
        <is>
          <t>Coonawarra</t>
        </is>
      </c>
      <c r="J13" s="32" t="inlineStr">
        <is>
          <t>Australia</t>
        </is>
      </c>
      <c r="K13" s="32" t="n">
        <v>14</v>
      </c>
      <c r="L13" s="32" t="inlineStr">
        <is>
          <t>750ml</t>
        </is>
      </c>
      <c r="M13" s="32" t="n">
        <v>6</v>
      </c>
      <c r="N13" s="69" t="n">
        <v>44438</v>
      </c>
      <c r="O13" s="32" t="n">
        <v>150</v>
      </c>
      <c r="P13" s="32" t="n">
        <v>2026</v>
      </c>
      <c r="Q13" s="32" t="n">
        <v>2040</v>
      </c>
      <c r="R13" s="32" t="inlineStr">
        <is>
          <t>In Cellar</t>
        </is>
      </c>
      <c r="S13" s="32" t="n">
        <v>4</v>
      </c>
      <c r="T13" s="68" t="inlineStr">
        <is>
          <t>Terra rossa cabernet; blackcurrant, mint, firm structure.</t>
        </is>
      </c>
      <c r="U13" s="69" t="n">
        <v>46201</v>
      </c>
      <c r="V13" s="32">
        <f>IF($M13="","",IF($M13=0,"Out of stock",IF(OR($P13="",$Q13=""),"No window",IF(YEAR(TODAY())&lt;$P13,"Too young",IF(YEAR(TODAY())&gt;$Q13,"Past peak",IF(YEAR(TODAY())=$Q13,"Drink now","Ready"))))))</f>
        <v/>
      </c>
      <c r="W13" s="32" t="n">
        <v>96</v>
      </c>
      <c r="X13" s="32" t="n">
        <v>95</v>
      </c>
      <c r="Y13" s="32" t="n">
        <v>93</v>
      </c>
      <c r="Z13" s="32" t="n">
        <v>94</v>
      </c>
      <c r="AA13" s="32" t="n">
        <v>94</v>
      </c>
      <c r="AC13" s="32" t="inlineStr">
        <is>
          <t>Rack B – Row 1</t>
        </is>
      </c>
    </row>
    <row r="14">
      <c r="A14" s="32">
        <f>IF($B14="","",IFERROR(IMAGE($B14,4,60,60),""))</f>
        <v/>
      </c>
      <c r="B14" s="32" t="inlineStr">
        <is>
          <t>https://example.com/cellar-labels/torbreck-runrig.jpg</t>
        </is>
      </c>
      <c r="C14" s="32" t="n">
        <v>13</v>
      </c>
      <c r="D14" s="32" t="inlineStr">
        <is>
          <t>Torbreck</t>
        </is>
      </c>
      <c r="E14" s="32" t="inlineStr">
        <is>
          <t>RunRig</t>
        </is>
      </c>
      <c r="F14" s="32" t="n">
        <v>2017</v>
      </c>
      <c r="G14" s="32" t="inlineStr">
        <is>
          <t>Red</t>
        </is>
      </c>
      <c r="H14" s="32" t="inlineStr">
        <is>
          <t>Shiraz / Viognier</t>
        </is>
      </c>
      <c r="I14" s="32" t="inlineStr">
        <is>
          <t>Barossa Valley</t>
        </is>
      </c>
      <c r="J14" s="32" t="inlineStr">
        <is>
          <t>Australia</t>
        </is>
      </c>
      <c r="K14" s="32" t="n">
        <v>14.5</v>
      </c>
      <c r="L14" s="32" t="inlineStr">
        <is>
          <t>750ml</t>
        </is>
      </c>
      <c r="M14" s="32" t="n">
        <v>3</v>
      </c>
      <c r="N14" s="69" t="n">
        <v>44028</v>
      </c>
      <c r="O14" s="32" t="n">
        <v>250</v>
      </c>
      <c r="P14" s="32" t="n">
        <v>2027</v>
      </c>
      <c r="Q14" s="32" t="n">
        <v>2045</v>
      </c>
      <c r="R14" s="32" t="inlineStr">
        <is>
          <t>In Cellar</t>
        </is>
      </c>
      <c r="S14" s="32" t="n">
        <v>5</v>
      </c>
      <c r="T14" s="68" t="inlineStr">
        <is>
          <t>Opulent Barossa shiraz co-fermented with viognier. Just closed up.</t>
        </is>
      </c>
      <c r="U14" s="69" t="n">
        <v>46201</v>
      </c>
      <c r="V14" s="32">
        <f>IF($M14="","",IF($M14=0,"Out of stock",IF(OR($P14="",$Q14=""),"No window",IF(YEAR(TODAY())&lt;$P14,"Too young",IF(YEAR(TODAY())&gt;$Q14,"Past peak",IF(YEAR(TODAY())=$Q14,"Drink now","Ready"))))))</f>
        <v/>
      </c>
      <c r="W14" s="32" t="n">
        <v>98</v>
      </c>
      <c r="X14" s="32" t="n">
        <v>96</v>
      </c>
      <c r="Y14" s="32" t="n">
        <v>97</v>
      </c>
      <c r="AC14" s="32" t="inlineStr">
        <is>
          <t>Rack A – Row 2</t>
        </is>
      </c>
    </row>
    <row r="15">
      <c r="A15" s="32">
        <f>IF($B15="","",IFERROR(IMAGE($B15,4,60,60),""))</f>
        <v/>
      </c>
      <c r="B15" s="32" t="inlineStr">
        <is>
          <t>https://example.com/cellar-labels/sassicaia.jpg</t>
        </is>
      </c>
      <c r="C15" s="32" t="n">
        <v>14</v>
      </c>
      <c r="D15" s="32" t="inlineStr">
        <is>
          <t>Tenuta San Guido</t>
        </is>
      </c>
      <c r="E15" s="32" t="inlineStr">
        <is>
          <t>Sassicaia</t>
        </is>
      </c>
      <c r="F15" s="32" t="n">
        <v>2018</v>
      </c>
      <c r="G15" s="32" t="inlineStr">
        <is>
          <t>Red</t>
        </is>
      </c>
      <c r="H15" s="32" t="inlineStr">
        <is>
          <t>Cabernet Sauvignon / Cabernet Franc</t>
        </is>
      </c>
      <c r="I15" s="32" t="inlineStr">
        <is>
          <t>Tuscany</t>
        </is>
      </c>
      <c r="J15" s="32" t="inlineStr">
        <is>
          <t>Italy</t>
        </is>
      </c>
      <c r="K15" s="32" t="n">
        <v>13.5</v>
      </c>
      <c r="L15" s="32" t="inlineStr">
        <is>
          <t>750ml</t>
        </is>
      </c>
      <c r="M15" s="32" t="n">
        <v>2</v>
      </c>
      <c r="N15" s="69" t="n">
        <v>44260</v>
      </c>
      <c r="O15" s="32" t="n">
        <v>400</v>
      </c>
      <c r="P15" s="32" t="n">
        <v>2025</v>
      </c>
      <c r="Q15" s="32" t="n">
        <v>2045</v>
      </c>
      <c r="R15" s="32" t="inlineStr">
        <is>
          <t>In Cellar</t>
        </is>
      </c>
      <c r="S15" s="32" t="n">
        <v>5</v>
      </c>
      <c r="T15" s="68" t="inlineStr">
        <is>
          <t>Super-Tuscan benchmark; cedar, cassis, polished tannin.</t>
        </is>
      </c>
      <c r="U15" s="69" t="n">
        <v>46201</v>
      </c>
      <c r="V15" s="32">
        <f>IF($M15="","",IF($M15=0,"Out of stock",IF(OR($P15="",$Q15=""),"No window",IF(YEAR(TODAY())&lt;$P15,"Too young",IF(YEAR(TODAY())&gt;$Q15,"Past peak",IF(YEAR(TODAY())=$Q15,"Drink now","Ready"))))))</f>
        <v/>
      </c>
      <c r="Y15" s="32" t="n">
        <v>97</v>
      </c>
      <c r="AA15" s="32" t="n">
        <v>95</v>
      </c>
      <c r="AB15" s="32" t="inlineStr">
        <is>
          <t>Vinous 97</t>
        </is>
      </c>
      <c r="AC15" s="32" t="inlineStr">
        <is>
          <t>Rack C – Row 2</t>
        </is>
      </c>
    </row>
    <row r="16">
      <c r="A16" s="32">
        <f>IF($B16="","",IFERROR(IMAGE($B16,4,60,60),""))</f>
        <v/>
      </c>
      <c r="B16" s="32" t="inlineStr">
        <is>
          <t>https://example.com/cellar-labels/vega-sicilia.jpg</t>
        </is>
      </c>
      <c r="C16" s="32" t="n">
        <v>15</v>
      </c>
      <c r="D16" s="32" t="inlineStr">
        <is>
          <t>Vega Sicilia</t>
        </is>
      </c>
      <c r="E16" s="32" t="inlineStr">
        <is>
          <t>Único</t>
        </is>
      </c>
      <c r="F16" s="32" t="n">
        <v>2011</v>
      </c>
      <c r="G16" s="32" t="inlineStr">
        <is>
          <t>Red</t>
        </is>
      </c>
      <c r="H16" s="32" t="inlineStr">
        <is>
          <t>Tempranillo / Cabernet</t>
        </is>
      </c>
      <c r="I16" s="32" t="inlineStr">
        <is>
          <t>Ribera del Duero</t>
        </is>
      </c>
      <c r="J16" s="32" t="inlineStr">
        <is>
          <t>Spain</t>
        </is>
      </c>
      <c r="K16" s="32" t="n">
        <v>14</v>
      </c>
      <c r="L16" s="32" t="inlineStr">
        <is>
          <t>750ml</t>
        </is>
      </c>
      <c r="M16" s="32" t="n">
        <v>1</v>
      </c>
      <c r="N16" s="69" t="n">
        <v>43872</v>
      </c>
      <c r="O16" s="32" t="n">
        <v>600</v>
      </c>
      <c r="P16" s="32" t="n">
        <v>2025</v>
      </c>
      <c r="Q16" s="32" t="n">
        <v>2040</v>
      </c>
      <c r="R16" s="32" t="inlineStr">
        <is>
          <t>Reserved</t>
        </is>
      </c>
      <c r="S16" s="32" t="n">
        <v>5</v>
      </c>
      <c r="T16" s="68" t="inlineStr">
        <is>
          <t>Legendary Spanish red; long oak ageing, savoury and complex.</t>
        </is>
      </c>
      <c r="U16" s="69" t="n">
        <v>46201</v>
      </c>
      <c r="V16" s="32">
        <f>IF($M16="","",IF($M16=0,"Out of stock",IF(OR($P16="",$Q16=""),"No window",IF(YEAR(TODAY())&lt;$P16,"Too young",IF(YEAR(TODAY())&gt;$Q16,"Past peak",IF(YEAR(TODAY())=$Q16,"Drink now","Ready"))))))</f>
        <v/>
      </c>
      <c r="Y16" s="32" t="n">
        <v>98</v>
      </c>
      <c r="AB16" s="32" t="inlineStr">
        <is>
          <t>Suckling 98</t>
        </is>
      </c>
      <c r="AC16" s="32" t="inlineStr">
        <is>
          <t>Rack C – Row 2</t>
        </is>
      </c>
    </row>
    <row r="17">
      <c r="A17" s="32">
        <f>IF($B17="","",IFERROR(IMAGE($B17,4,60,60),""))</f>
        <v/>
      </c>
      <c r="B17" s="32" t="inlineStr">
        <is>
          <t>https://example.com/cellar-labels/taylors-tawny.jpg</t>
        </is>
      </c>
      <c r="C17" s="32" t="n">
        <v>16</v>
      </c>
      <c r="D17" s="32" t="inlineStr">
        <is>
          <t>Taylor's</t>
        </is>
      </c>
      <c r="E17" s="32" t="inlineStr">
        <is>
          <t>20 Year Old Tawny</t>
        </is>
      </c>
      <c r="F17" s="32" t="inlineStr">
        <is>
          <t>NV</t>
        </is>
      </c>
      <c r="G17" s="32" t="inlineStr">
        <is>
          <t>Fortified</t>
        </is>
      </c>
      <c r="H17" s="32" t="inlineStr">
        <is>
          <t>Touriga / Tinta blend</t>
        </is>
      </c>
      <c r="I17" s="32" t="inlineStr">
        <is>
          <t>Douro</t>
        </is>
      </c>
      <c r="J17" s="32" t="inlineStr">
        <is>
          <t>Portugal</t>
        </is>
      </c>
      <c r="K17" s="32" t="n">
        <v>20</v>
      </c>
      <c r="L17" s="32" t="inlineStr">
        <is>
          <t>750ml</t>
        </is>
      </c>
      <c r="M17" s="32" t="n">
        <v>1</v>
      </c>
      <c r="N17" s="69" t="n">
        <v>44915</v>
      </c>
      <c r="O17" s="32" t="n">
        <v>90</v>
      </c>
      <c r="P17" s="32" t="n">
        <v>2020</v>
      </c>
      <c r="Q17" s="32" t="n">
        <v>2030</v>
      </c>
      <c r="R17" s="32" t="inlineStr">
        <is>
          <t>In Cellar</t>
        </is>
      </c>
      <c r="S17" s="32" t="n">
        <v>4</v>
      </c>
      <c r="T17" s="68" t="inlineStr">
        <is>
          <t>Nutty, caramel, dried-fig tawny port. Open and enjoy over weeks.</t>
        </is>
      </c>
      <c r="U17" s="69" t="n">
        <v>46201</v>
      </c>
      <c r="V17" s="32">
        <f>IF($M17="","",IF($M17=0,"Out of stock",IF(OR($P17="",$Q17=""),"No window",IF(YEAR(TODAY())&lt;$P17,"Too young",IF(YEAR(TODAY())&gt;$Q17,"Past peak",IF(YEAR(TODAY())=$Q17,"Drink now","Ready"))))))</f>
        <v/>
      </c>
      <c r="Y17" s="32" t="n">
        <v>95</v>
      </c>
      <c r="AA17" s="32" t="n">
        <v>94</v>
      </c>
      <c r="AC17" s="32" t="inlineStr">
        <is>
          <t>Rack D – Row 1</t>
        </is>
      </c>
    </row>
    <row r="18">
      <c r="A18" s="32">
        <f>IF($B18="","",IFERROR(IMAGE($B18,4,60,60),""))</f>
        <v/>
      </c>
      <c r="B18" s="32" t="inlineStr">
        <is>
          <t>https://example.com/cellar-labels/dyquem.jpg</t>
        </is>
      </c>
      <c r="C18" s="32" t="n">
        <v>17</v>
      </c>
      <c r="D18" s="32" t="inlineStr">
        <is>
          <t>Château d'Yquem</t>
        </is>
      </c>
      <c r="E18" s="32" t="inlineStr">
        <is>
          <t>Sauternes</t>
        </is>
      </c>
      <c r="F18" s="32" t="n">
        <v>2015</v>
      </c>
      <c r="G18" s="32" t="inlineStr">
        <is>
          <t>Dessert</t>
        </is>
      </c>
      <c r="H18" s="32" t="inlineStr">
        <is>
          <t>Sémillon / Sauvignon Blanc</t>
        </is>
      </c>
      <c r="I18" s="32" t="inlineStr">
        <is>
          <t>Sauternes</t>
        </is>
      </c>
      <c r="J18" s="32" t="inlineStr">
        <is>
          <t>France</t>
        </is>
      </c>
      <c r="K18" s="32" t="n">
        <v>14</v>
      </c>
      <c r="L18" s="32" t="inlineStr">
        <is>
          <t>375ml</t>
        </is>
      </c>
      <c r="M18" s="32" t="n">
        <v>2</v>
      </c>
      <c r="N18" s="69" t="n">
        <v>43736</v>
      </c>
      <c r="O18" s="32" t="n">
        <v>400</v>
      </c>
      <c r="P18" s="32" t="n">
        <v>2025</v>
      </c>
      <c r="Q18" s="32" t="n">
        <v>2060</v>
      </c>
      <c r="R18" s="32" t="inlineStr">
        <is>
          <t>In Cellar</t>
        </is>
      </c>
      <c r="S18" s="32" t="n">
        <v>5</v>
      </c>
      <c r="T18" s="68" t="inlineStr">
        <is>
          <t>Botrytis-rich; apricot, honey, saffron. Nearly immortal.</t>
        </is>
      </c>
      <c r="U18" s="69" t="n">
        <v>46201</v>
      </c>
      <c r="V18" s="32">
        <f>IF($M18="","",IF($M18=0,"Out of stock",IF(OR($P18="",$Q18=""),"No window",IF(YEAR(TODAY())&lt;$P18,"Too young",IF(YEAR(TODAY())&gt;$Q18,"Past peak",IF(YEAR(TODAY())=$Q18,"Drink now","Ready"))))))</f>
        <v/>
      </c>
      <c r="Y18" s="32" t="n">
        <v>99</v>
      </c>
      <c r="AA18" s="32" t="n">
        <v>97</v>
      </c>
      <c r="AB18" s="32" t="inlineStr">
        <is>
          <t>Suckling 99</t>
        </is>
      </c>
      <c r="AC18" s="32" t="inlineStr">
        <is>
          <t>Rack D – Row 2</t>
        </is>
      </c>
    </row>
    <row r="19">
      <c r="A19" s="32">
        <f>IF($B19="","",IFERROR(IMAGE($B19,4,60,60),""))</f>
        <v/>
      </c>
      <c r="B19" s="32" t="inlineStr">
        <is>
          <t>https://example.com/cellar-labels/mount-mary-quintet.jpg</t>
        </is>
      </c>
      <c r="C19" s="32" t="n">
        <v>18</v>
      </c>
      <c r="D19" s="32" t="inlineStr">
        <is>
          <t>Mount Mary</t>
        </is>
      </c>
      <c r="E19" s="32" t="inlineStr">
        <is>
          <t>Quintet</t>
        </is>
      </c>
      <c r="F19" s="32" t="n">
        <v>2019</v>
      </c>
      <c r="G19" s="32" t="inlineStr">
        <is>
          <t>Red</t>
        </is>
      </c>
      <c r="H19" s="32" t="inlineStr">
        <is>
          <t>Cabernet blend</t>
        </is>
      </c>
      <c r="I19" s="32" t="inlineStr">
        <is>
          <t>Yarra Valley</t>
        </is>
      </c>
      <c r="J19" s="32" t="inlineStr">
        <is>
          <t>Australia</t>
        </is>
      </c>
      <c r="K19" s="32" t="n">
        <v>13.5</v>
      </c>
      <c r="L19" s="32" t="inlineStr">
        <is>
          <t>750ml</t>
        </is>
      </c>
      <c r="M19" s="32" t="n">
        <v>0</v>
      </c>
      <c r="N19" s="69" t="n">
        <v>44685</v>
      </c>
      <c r="O19" s="32" t="n">
        <v>180</v>
      </c>
      <c r="P19" s="32" t="n">
        <v>2026</v>
      </c>
      <c r="Q19" s="32" t="n">
        <v>2038</v>
      </c>
      <c r="R19" s="32" t="inlineStr">
        <is>
          <t>Archived</t>
        </is>
      </c>
      <c r="S19" s="32" t="n">
        <v>4</v>
      </c>
      <c r="T19" s="68" t="inlineStr">
        <is>
          <t>Elegant, cool-climate Bordeaux blend. Restock target.</t>
        </is>
      </c>
      <c r="U19" s="69" t="n">
        <v>46201</v>
      </c>
      <c r="V19" s="32">
        <f>IF($M19="","",IF($M19=0,"Out of stock",IF(OR($P19="",$Q19=""),"No window",IF(YEAR(TODAY())&lt;$P19,"Too young",IF(YEAR(TODAY())&gt;$Q19,"Past peak",IF(YEAR(TODAY())=$Q19,"Drink now","Ready"))))))</f>
        <v/>
      </c>
      <c r="W19" s="32" t="n">
        <v>97</v>
      </c>
      <c r="X19" s="32" t="n">
        <v>96</v>
      </c>
      <c r="Z19" s="32" t="n">
        <v>96</v>
      </c>
      <c r="AA19" s="32" t="n">
        <v>95</v>
      </c>
      <c r="AC19" s="32" t="inlineStr">
        <is>
          <t>Rack B – Row 2</t>
        </is>
      </c>
    </row>
    <row r="20">
      <c r="A20" s="32">
        <f>IF($B20="","",IFERROR(IMAGE($B20,4,60,60),""))</f>
        <v/>
      </c>
      <c r="B20" s="32" t="inlineStr">
        <is>
          <t>https://example.com/cellar-labels/chandon-rose.jpg</t>
        </is>
      </c>
      <c r="C20" s="32" t="n">
        <v>19</v>
      </c>
      <c r="D20" s="32" t="inlineStr">
        <is>
          <t>Chandon</t>
        </is>
      </c>
      <c r="E20" s="32" t="inlineStr">
        <is>
          <t>Brut Rosé</t>
        </is>
      </c>
      <c r="F20" s="32" t="inlineStr">
        <is>
          <t>NV</t>
        </is>
      </c>
      <c r="G20" s="32" t="inlineStr">
        <is>
          <t>Sparkling</t>
        </is>
      </c>
      <c r="H20" s="32" t="inlineStr">
        <is>
          <t>Pinot Noir / Chardonnay</t>
        </is>
      </c>
      <c r="I20" s="32" t="inlineStr">
        <is>
          <t>Yarra Valley</t>
        </is>
      </c>
      <c r="J20" s="32" t="inlineStr">
        <is>
          <t>Australia</t>
        </is>
      </c>
      <c r="K20" s="32" t="n">
        <v>12.5</v>
      </c>
      <c r="L20" s="32" t="inlineStr">
        <is>
          <t>750ml</t>
        </is>
      </c>
      <c r="M20" s="32" t="n">
        <v>0</v>
      </c>
      <c r="N20" s="69" t="n">
        <v>45240</v>
      </c>
      <c r="O20" s="32" t="n">
        <v>30</v>
      </c>
      <c r="P20" s="32" t="n">
        <v>2024</v>
      </c>
      <c r="Q20" s="32" t="n">
        <v>2027</v>
      </c>
      <c r="R20" s="32" t="inlineStr">
        <is>
          <t>Archived</t>
        </is>
      </c>
      <c r="S20" s="32" t="n">
        <v>3</v>
      </c>
      <c r="T20" s="68" t="inlineStr">
        <is>
          <t>Easy weeknight fizz. Buy more before summer.</t>
        </is>
      </c>
      <c r="U20" s="69" t="n">
        <v>46201</v>
      </c>
      <c r="V20" s="32">
        <f>IF($M20="","",IF($M20=0,"Out of stock",IF(OR($P20="",$Q20=""),"No window",IF(YEAR(TODAY())&lt;$P20,"Too young",IF(YEAR(TODAY())&gt;$Q20,"Past peak",IF(YEAR(TODAY())=$Q20,"Drink now","Ready"))))))</f>
        <v/>
      </c>
      <c r="W20" s="32" t="n">
        <v>90</v>
      </c>
      <c r="X20" s="32" t="n">
        <v>89</v>
      </c>
      <c r="AA20" s="32" t="n">
        <v>89</v>
      </c>
      <c r="AC20" s="32" t="inlineStr">
        <is>
          <t>Fridge – Door</t>
        </is>
      </c>
    </row>
    <row r="21">
      <c r="A21" s="32">
        <f>IF($B21="","",IFERROR(IMAGE($B21,4,60,60),""))</f>
        <v/>
      </c>
      <c r="T21" s="68" t="n"/>
      <c r="V21" s="32">
        <f>IF($M21="","",IF($M21=0,"Out of stock",IF(OR($P21="",$Q21=""),"No window",IF(YEAR(TODAY())&lt;$P21,"Too young",IF(YEAR(TODAY())&gt;$Q21,"Past peak",IF(YEAR(TODAY())=$Q21,"Drink now","Ready"))))))</f>
        <v/>
      </c>
    </row>
    <row r="22">
      <c r="A22" s="32">
        <f>IF($B22="","",IFERROR(IMAGE($B22,4,60,60),""))</f>
        <v/>
      </c>
      <c r="T22" s="68" t="n"/>
      <c r="V22" s="32">
        <f>IF($M22="","",IF($M22=0,"Out of stock",IF(OR($P22="",$Q22=""),"No window",IF(YEAR(TODAY())&lt;$P22,"Too young",IF(YEAR(TODAY())&gt;$Q22,"Past peak",IF(YEAR(TODAY())=$Q22,"Drink now","Ready"))))))</f>
        <v/>
      </c>
    </row>
    <row r="23">
      <c r="A23" s="32">
        <f>IF($B23="","",IFERROR(IMAGE($B23,4,60,60),""))</f>
        <v/>
      </c>
      <c r="T23" s="68" t="n"/>
      <c r="V23" s="32">
        <f>IF($M23="","",IF($M23=0,"Out of stock",IF(OR($P23="",$Q23=""),"No window",IF(YEAR(TODAY())&lt;$P23,"Too young",IF(YEAR(TODAY())&gt;$Q23,"Past peak",IF(YEAR(TODAY())=$Q23,"Drink now","Ready"))))))</f>
        <v/>
      </c>
    </row>
    <row r="24">
      <c r="A24" s="32">
        <f>IF($B24="","",IFERROR(IMAGE($B24,4,60,60),""))</f>
        <v/>
      </c>
      <c r="T24" s="68" t="n"/>
      <c r="V24" s="32">
        <f>IF($M24="","",IF($M24=0,"Out of stock",IF(OR($P24="",$Q24=""),"No window",IF(YEAR(TODAY())&lt;$P24,"Too young",IF(YEAR(TODAY())&gt;$Q24,"Past peak",IF(YEAR(TODAY())=$Q24,"Drink now","Ready"))))))</f>
        <v/>
      </c>
    </row>
    <row r="25">
      <c r="A25" s="32">
        <f>IF($B25="","",IFERROR(IMAGE($B25,4,60,60),""))</f>
        <v/>
      </c>
      <c r="T25" s="68" t="n"/>
      <c r="V25" s="32">
        <f>IF($M25="","",IF($M25=0,"Out of stock",IF(OR($P25="",$Q25=""),"No window",IF(YEAR(TODAY())&lt;$P25,"Too young",IF(YEAR(TODAY())&gt;$Q25,"Past peak",IF(YEAR(TODAY())=$Q25,"Drink now","Ready"))))))</f>
        <v/>
      </c>
    </row>
    <row r="26">
      <c r="A26" s="32">
        <f>IF($B26="","",IFERROR(IMAGE($B26,4,60,60),""))</f>
        <v/>
      </c>
      <c r="T26" s="68" t="n"/>
      <c r="V26" s="32">
        <f>IF($M26="","",IF($M26=0,"Out of stock",IF(OR($P26="",$Q26=""),"No window",IF(YEAR(TODAY())&lt;$P26,"Too young",IF(YEAR(TODAY())&gt;$Q26,"Past peak",IF(YEAR(TODAY())=$Q26,"Drink now","Ready"))))))</f>
        <v/>
      </c>
    </row>
    <row r="27">
      <c r="A27" s="32">
        <f>IF($B27="","",IFERROR(IMAGE($B27,4,60,60),""))</f>
        <v/>
      </c>
      <c r="T27" s="68" t="n"/>
      <c r="V27" s="32">
        <f>IF($M27="","",IF($M27=0,"Out of stock",IF(OR($P27="",$Q27=""),"No window",IF(YEAR(TODAY())&lt;$P27,"Too young",IF(YEAR(TODAY())&gt;$Q27,"Past peak",IF(YEAR(TODAY())=$Q27,"Drink now","Ready"))))))</f>
        <v/>
      </c>
    </row>
    <row r="28">
      <c r="A28" s="32">
        <f>IF($B28="","",IFERROR(IMAGE($B28,4,60,60),""))</f>
        <v/>
      </c>
      <c r="T28" s="68" t="n"/>
      <c r="V28" s="32">
        <f>IF($M28="","",IF($M28=0,"Out of stock",IF(OR($P28="",$Q28=""),"No window",IF(YEAR(TODAY())&lt;$P28,"Too young",IF(YEAR(TODAY())&gt;$Q28,"Past peak",IF(YEAR(TODAY())=$Q28,"Drink now","Ready"))))))</f>
        <v/>
      </c>
    </row>
    <row r="29">
      <c r="A29" s="32">
        <f>IF($B29="","",IFERROR(IMAGE($B29,4,60,60),""))</f>
        <v/>
      </c>
      <c r="T29" s="68" t="n"/>
      <c r="V29" s="32">
        <f>IF($M29="","",IF($M29=0,"Out of stock",IF(OR($P29="",$Q29=""),"No window",IF(YEAR(TODAY())&lt;$P29,"Too young",IF(YEAR(TODAY())&gt;$Q29,"Past peak",IF(YEAR(TODAY())=$Q29,"Drink now","Ready"))))))</f>
        <v/>
      </c>
    </row>
    <row r="30">
      <c r="A30" s="32">
        <f>IF($B30="","",IFERROR(IMAGE($B30,4,60,60),""))</f>
        <v/>
      </c>
      <c r="T30" s="68" t="n"/>
      <c r="V30" s="32">
        <f>IF($M30="","",IF($M30=0,"Out of stock",IF(OR($P30="",$Q30=""),"No window",IF(YEAR(TODAY())&lt;$P30,"Too young",IF(YEAR(TODAY())&gt;$Q30,"Past peak",IF(YEAR(TODAY())=$Q30,"Drink now","Ready"))))))</f>
        <v/>
      </c>
    </row>
    <row r="31">
      <c r="A31" s="32">
        <f>IF($B31="","",IFERROR(IMAGE($B31,4,60,60),""))</f>
        <v/>
      </c>
      <c r="T31" s="68" t="n"/>
      <c r="V31" s="32">
        <f>IF($M31="","",IF($M31=0,"Out of stock",IF(OR($P31="",$Q31=""),"No window",IF(YEAR(TODAY())&lt;$P31,"Too young",IF(YEAR(TODAY())&gt;$Q31,"Past peak",IF(YEAR(TODAY())=$Q31,"Drink now","Ready"))))))</f>
        <v/>
      </c>
    </row>
    <row r="32">
      <c r="A32" s="32">
        <f>IF($B32="","",IFERROR(IMAGE($B32,4,60,60),""))</f>
        <v/>
      </c>
      <c r="T32" s="68" t="n"/>
      <c r="V32" s="32">
        <f>IF($M32="","",IF($M32=0,"Out of stock",IF(OR($P32="",$Q32=""),"No window",IF(YEAR(TODAY())&lt;$P32,"Too young",IF(YEAR(TODAY())&gt;$Q32,"Past peak",IF(YEAR(TODAY())=$Q32,"Drink now","Ready"))))))</f>
        <v/>
      </c>
    </row>
    <row r="33">
      <c r="A33" s="32">
        <f>IF($B33="","",IFERROR(IMAGE($B33,4,60,60),""))</f>
        <v/>
      </c>
      <c r="T33" s="68" t="n"/>
      <c r="V33" s="32">
        <f>IF($M33="","",IF($M33=0,"Out of stock",IF(OR($P33="",$Q33=""),"No window",IF(YEAR(TODAY())&lt;$P33,"Too young",IF(YEAR(TODAY())&gt;$Q33,"Past peak",IF(YEAR(TODAY())=$Q33,"Drink now","Ready"))))))</f>
        <v/>
      </c>
    </row>
    <row r="34">
      <c r="A34" s="32">
        <f>IF($B34="","",IFERROR(IMAGE($B34,4,60,60),""))</f>
        <v/>
      </c>
      <c r="T34" s="68" t="n"/>
      <c r="V34" s="32">
        <f>IF($M34="","",IF($M34=0,"Out of stock",IF(OR($P34="",$Q34=""),"No window",IF(YEAR(TODAY())&lt;$P34,"Too young",IF(YEAR(TODAY())&gt;$Q34,"Past peak",IF(YEAR(TODAY())=$Q34,"Drink now","Ready"))))))</f>
        <v/>
      </c>
    </row>
    <row r="35">
      <c r="A35" s="32">
        <f>IF($B35="","",IFERROR(IMAGE($B35,4,60,60),""))</f>
        <v/>
      </c>
      <c r="T35" s="68" t="n"/>
      <c r="V35" s="32">
        <f>IF($M35="","",IF($M35=0,"Out of stock",IF(OR($P35="",$Q35=""),"No window",IF(YEAR(TODAY())&lt;$P35,"Too young",IF(YEAR(TODAY())&gt;$Q35,"Past peak",IF(YEAR(TODAY())=$Q35,"Drink now","Ready"))))))</f>
        <v/>
      </c>
    </row>
    <row r="36">
      <c r="A36" s="32">
        <f>IF($B36="","",IFERROR(IMAGE($B36,4,60,60),""))</f>
        <v/>
      </c>
      <c r="T36" s="68" t="n"/>
      <c r="V36" s="32">
        <f>IF($M36="","",IF($M36=0,"Out of stock",IF(OR($P36="",$Q36=""),"No window",IF(YEAR(TODAY())&lt;$P36,"Too young",IF(YEAR(TODAY())&gt;$Q36,"Past peak",IF(YEAR(TODAY())=$Q36,"Drink now","Ready"))))))</f>
        <v/>
      </c>
    </row>
    <row r="37">
      <c r="A37" s="32">
        <f>IF($B37="","",IFERROR(IMAGE($B37,4,60,60),""))</f>
        <v/>
      </c>
      <c r="T37" s="68" t="n"/>
      <c r="V37" s="32">
        <f>IF($M37="","",IF($M37=0,"Out of stock",IF(OR($P37="",$Q37=""),"No window",IF(YEAR(TODAY())&lt;$P37,"Too young",IF(YEAR(TODAY())&gt;$Q37,"Past peak",IF(YEAR(TODAY())=$Q37,"Drink now","Ready"))))))</f>
        <v/>
      </c>
    </row>
    <row r="38">
      <c r="A38" s="32">
        <f>IF($B38="","",IFERROR(IMAGE($B38,4,60,60),""))</f>
        <v/>
      </c>
      <c r="T38" s="68" t="n"/>
      <c r="V38" s="32">
        <f>IF($M38="","",IF($M38=0,"Out of stock",IF(OR($P38="",$Q38=""),"No window",IF(YEAR(TODAY())&lt;$P38,"Too young",IF(YEAR(TODAY())&gt;$Q38,"Past peak",IF(YEAR(TODAY())=$Q38,"Drink now","Ready"))))))</f>
        <v/>
      </c>
    </row>
    <row r="39">
      <c r="A39" s="32">
        <f>IF($B39="","",IFERROR(IMAGE($B39,4,60,60),""))</f>
        <v/>
      </c>
      <c r="T39" s="68" t="n"/>
      <c r="V39" s="32">
        <f>IF($M39="","",IF($M39=0,"Out of stock",IF(OR($P39="",$Q39=""),"No window",IF(YEAR(TODAY())&lt;$P39,"Too young",IF(YEAR(TODAY())&gt;$Q39,"Past peak",IF(YEAR(TODAY())=$Q39,"Drink now","Ready"))))))</f>
        <v/>
      </c>
    </row>
    <row r="40">
      <c r="A40" s="32">
        <f>IF($B40="","",IFERROR(IMAGE($B40,4,60,60),""))</f>
        <v/>
      </c>
      <c r="T40" s="68" t="n"/>
      <c r="V40" s="32">
        <f>IF($M40="","",IF($M40=0,"Out of stock",IF(OR($P40="",$Q40=""),"No window",IF(YEAR(TODAY())&lt;$P40,"Too young",IF(YEAR(TODAY())&gt;$Q40,"Past peak",IF(YEAR(TODAY())=$Q40,"Drink now","Ready"))))))</f>
        <v/>
      </c>
    </row>
    <row r="41">
      <c r="A41" s="32">
        <f>IF($B41="","",IFERROR(IMAGE($B41,4,60,60),""))</f>
        <v/>
      </c>
      <c r="T41" s="68" t="n"/>
      <c r="V41" s="32">
        <f>IF($M41="","",IF($M41=0,"Out of stock",IF(OR($P41="",$Q41=""),"No window",IF(YEAR(TODAY())&lt;$P41,"Too young",IF(YEAR(TODAY())&gt;$Q41,"Past peak",IF(YEAR(TODAY())=$Q41,"Drink now","Ready"))))))</f>
        <v/>
      </c>
    </row>
    <row r="42">
      <c r="A42" s="32">
        <f>IF($B42="","",IFERROR(IMAGE($B42,4,60,60),""))</f>
        <v/>
      </c>
      <c r="T42" s="68" t="n"/>
      <c r="V42" s="32">
        <f>IF($M42="","",IF($M42=0,"Out of stock",IF(OR($P42="",$Q42=""),"No window",IF(YEAR(TODAY())&lt;$P42,"Too young",IF(YEAR(TODAY())&gt;$Q42,"Past peak",IF(YEAR(TODAY())=$Q42,"Drink now","Ready"))))))</f>
        <v/>
      </c>
    </row>
    <row r="43">
      <c r="A43" s="32">
        <f>IF($B43="","",IFERROR(IMAGE($B43,4,60,60),""))</f>
        <v/>
      </c>
      <c r="T43" s="68" t="n"/>
      <c r="V43" s="32">
        <f>IF($M43="","",IF($M43=0,"Out of stock",IF(OR($P43="",$Q43=""),"No window",IF(YEAR(TODAY())&lt;$P43,"Too young",IF(YEAR(TODAY())&gt;$Q43,"Past peak",IF(YEAR(TODAY())=$Q43,"Drink now","Ready"))))))</f>
        <v/>
      </c>
    </row>
    <row r="44">
      <c r="A44" s="32">
        <f>IF($B44="","",IFERROR(IMAGE($B44,4,60,60),""))</f>
        <v/>
      </c>
      <c r="T44" s="68" t="n"/>
      <c r="V44" s="32">
        <f>IF($M44="","",IF($M44=0,"Out of stock",IF(OR($P44="",$Q44=""),"No window",IF(YEAR(TODAY())&lt;$P44,"Too young",IF(YEAR(TODAY())&gt;$Q44,"Past peak",IF(YEAR(TODAY())=$Q44,"Drink now","Ready"))))))</f>
        <v/>
      </c>
    </row>
    <row r="45">
      <c r="A45" s="32">
        <f>IF($B45="","",IFERROR(IMAGE($B45,4,60,60),""))</f>
        <v/>
      </c>
      <c r="T45" s="68" t="n"/>
      <c r="V45" s="32">
        <f>IF($M45="","",IF($M45=0,"Out of stock",IF(OR($P45="",$Q45=""),"No window",IF(YEAR(TODAY())&lt;$P45,"Too young",IF(YEAR(TODAY())&gt;$Q45,"Past peak",IF(YEAR(TODAY())=$Q45,"Drink now","Ready"))))))</f>
        <v/>
      </c>
    </row>
    <row r="46">
      <c r="A46" s="32">
        <f>IF($B46="","",IFERROR(IMAGE($B46,4,60,60),""))</f>
        <v/>
      </c>
      <c r="T46" s="68" t="n"/>
      <c r="V46" s="32">
        <f>IF($M46="","",IF($M46=0,"Out of stock",IF(OR($P46="",$Q46=""),"No window",IF(YEAR(TODAY())&lt;$P46,"Too young",IF(YEAR(TODAY())&gt;$Q46,"Past peak",IF(YEAR(TODAY())=$Q46,"Drink now","Ready"))))))</f>
        <v/>
      </c>
    </row>
    <row r="47">
      <c r="A47" s="32">
        <f>IF($B47="","",IFERROR(IMAGE($B47,4,60,60),""))</f>
        <v/>
      </c>
      <c r="T47" s="68" t="n"/>
      <c r="V47" s="32">
        <f>IF($M47="","",IF($M47=0,"Out of stock",IF(OR($P47="",$Q47=""),"No window",IF(YEAR(TODAY())&lt;$P47,"Too young",IF(YEAR(TODAY())&gt;$Q47,"Past peak",IF(YEAR(TODAY())=$Q47,"Drink now","Ready"))))))</f>
        <v/>
      </c>
    </row>
    <row r="48">
      <c r="A48" s="32">
        <f>IF($B48="","",IFERROR(IMAGE($B48,4,60,60),""))</f>
        <v/>
      </c>
      <c r="T48" s="68" t="n"/>
      <c r="V48" s="32">
        <f>IF($M48="","",IF($M48=0,"Out of stock",IF(OR($P48="",$Q48=""),"No window",IF(YEAR(TODAY())&lt;$P48,"Too young",IF(YEAR(TODAY())&gt;$Q48,"Past peak",IF(YEAR(TODAY())=$Q48,"Drink now","Ready"))))))</f>
        <v/>
      </c>
    </row>
    <row r="49">
      <c r="A49" s="32">
        <f>IF($B49="","",IFERROR(IMAGE($B49,4,60,60),""))</f>
        <v/>
      </c>
      <c r="T49" s="68" t="n"/>
      <c r="V49" s="32">
        <f>IF($M49="","",IF($M49=0,"Out of stock",IF(OR($P49="",$Q49=""),"No window",IF(YEAR(TODAY())&lt;$P49,"Too young",IF(YEAR(TODAY())&gt;$Q49,"Past peak",IF(YEAR(TODAY())=$Q49,"Drink now","Ready"))))))</f>
        <v/>
      </c>
    </row>
    <row r="50">
      <c r="A50" s="32">
        <f>IF($B50="","",IFERROR(IMAGE($B50,4,60,60),""))</f>
        <v/>
      </c>
      <c r="T50" s="68" t="n"/>
      <c r="V50" s="32">
        <f>IF($M50="","",IF($M50=0,"Out of stock",IF(OR($P50="",$Q50=""),"No window",IF(YEAR(TODAY())&lt;$P50,"Too young",IF(YEAR(TODAY())&gt;$Q50,"Past peak",IF(YEAR(TODAY())=$Q50,"Drink now","Ready"))))))</f>
        <v/>
      </c>
    </row>
    <row r="51">
      <c r="A51" s="32">
        <f>IF($B51="","",IFERROR(IMAGE($B51,4,60,60),""))</f>
        <v/>
      </c>
      <c r="T51" s="68" t="n"/>
      <c r="V51" s="32">
        <f>IF($M51="","",IF($M51=0,"Out of stock",IF(OR($P51="",$Q51=""),"No window",IF(YEAR(TODAY())&lt;$P51,"Too young",IF(YEAR(TODAY())&gt;$Q51,"Past peak",IF(YEAR(TODAY())=$Q51,"Drink now","Ready"))))))</f>
        <v/>
      </c>
    </row>
    <row r="52">
      <c r="A52" s="32">
        <f>IF($B52="","",IFERROR(IMAGE($B52,4,60,60),""))</f>
        <v/>
      </c>
      <c r="T52" s="68" t="n"/>
      <c r="V52" s="32">
        <f>IF($M52="","",IF($M52=0,"Out of stock",IF(OR($P52="",$Q52=""),"No window",IF(YEAR(TODAY())&lt;$P52,"Too young",IF(YEAR(TODAY())&gt;$Q52,"Past peak",IF(YEAR(TODAY())=$Q52,"Drink now","Ready"))))))</f>
        <v/>
      </c>
    </row>
    <row r="53">
      <c r="A53" s="32">
        <f>IF($B53="","",IFERROR(IMAGE($B53,4,60,60),""))</f>
        <v/>
      </c>
      <c r="T53" s="68" t="n"/>
      <c r="V53" s="32">
        <f>IF($M53="","",IF($M53=0,"Out of stock",IF(OR($P53="",$Q53=""),"No window",IF(YEAR(TODAY())&lt;$P53,"Too young",IF(YEAR(TODAY())&gt;$Q53,"Past peak",IF(YEAR(TODAY())=$Q53,"Drink now","Ready"))))))</f>
        <v/>
      </c>
    </row>
    <row r="54">
      <c r="A54" s="32">
        <f>IF($B54="","",IFERROR(IMAGE($B54,4,60,60),""))</f>
        <v/>
      </c>
      <c r="T54" s="68" t="n"/>
      <c r="V54" s="32">
        <f>IF($M54="","",IF($M54=0,"Out of stock",IF(OR($P54="",$Q54=""),"No window",IF(YEAR(TODAY())&lt;$P54,"Too young",IF(YEAR(TODAY())&gt;$Q54,"Past peak",IF(YEAR(TODAY())=$Q54,"Drink now","Ready"))))))</f>
        <v/>
      </c>
    </row>
    <row r="55">
      <c r="A55" s="32">
        <f>IF($B55="","",IFERROR(IMAGE($B55,4,60,60),""))</f>
        <v/>
      </c>
      <c r="T55" s="68" t="n"/>
      <c r="V55" s="32">
        <f>IF($M55="","",IF($M55=0,"Out of stock",IF(OR($P55="",$Q55=""),"No window",IF(YEAR(TODAY())&lt;$P55,"Too young",IF(YEAR(TODAY())&gt;$Q55,"Past peak",IF(YEAR(TODAY())=$Q55,"Drink now","Ready"))))))</f>
        <v/>
      </c>
    </row>
    <row r="56">
      <c r="A56" s="32">
        <f>IF($B56="","",IFERROR(IMAGE($B56,4,60,60),""))</f>
        <v/>
      </c>
      <c r="T56" s="68" t="n"/>
      <c r="V56" s="32">
        <f>IF($M56="","",IF($M56=0,"Out of stock",IF(OR($P56="",$Q56=""),"No window",IF(YEAR(TODAY())&lt;$P56,"Too young",IF(YEAR(TODAY())&gt;$Q56,"Past peak",IF(YEAR(TODAY())=$Q56,"Drink now","Ready"))))))</f>
        <v/>
      </c>
    </row>
    <row r="57">
      <c r="A57" s="32">
        <f>IF($B57="","",IFERROR(IMAGE($B57,4,60,60),""))</f>
        <v/>
      </c>
      <c r="T57" s="68" t="n"/>
      <c r="V57" s="32">
        <f>IF($M57="","",IF($M57=0,"Out of stock",IF(OR($P57="",$Q57=""),"No window",IF(YEAR(TODAY())&lt;$P57,"Too young",IF(YEAR(TODAY())&gt;$Q57,"Past peak",IF(YEAR(TODAY())=$Q57,"Drink now","Ready"))))))</f>
        <v/>
      </c>
    </row>
    <row r="58">
      <c r="A58" s="32">
        <f>IF($B58="","",IFERROR(IMAGE($B58,4,60,60),""))</f>
        <v/>
      </c>
      <c r="T58" s="68" t="n"/>
      <c r="V58" s="32">
        <f>IF($M58="","",IF($M58=0,"Out of stock",IF(OR($P58="",$Q58=""),"No window",IF(YEAR(TODAY())&lt;$P58,"Too young",IF(YEAR(TODAY())&gt;$Q58,"Past peak",IF(YEAR(TODAY())=$Q58,"Drink now","Ready"))))))</f>
        <v/>
      </c>
    </row>
    <row r="59">
      <c r="A59" s="32">
        <f>IF($B59="","",IFERROR(IMAGE($B59,4,60,60),""))</f>
        <v/>
      </c>
      <c r="T59" s="68" t="n"/>
      <c r="V59" s="32">
        <f>IF($M59="","",IF($M59=0,"Out of stock",IF(OR($P59="",$Q59=""),"No window",IF(YEAR(TODAY())&lt;$P59,"Too young",IF(YEAR(TODAY())&gt;$Q59,"Past peak",IF(YEAR(TODAY())=$Q59,"Drink now","Ready"))))))</f>
        <v/>
      </c>
    </row>
    <row r="60">
      <c r="A60" s="32">
        <f>IF($B60="","",IFERROR(IMAGE($B60,4,60,60),""))</f>
        <v/>
      </c>
      <c r="T60" s="68" t="n"/>
      <c r="V60" s="32">
        <f>IF($M60="","",IF($M60=0,"Out of stock",IF(OR($P60="",$Q60=""),"No window",IF(YEAR(TODAY())&lt;$P60,"Too young",IF(YEAR(TODAY())&gt;$Q60,"Past peak",IF(YEAR(TODAY())=$Q60,"Drink now","Ready"))))))</f>
        <v/>
      </c>
    </row>
    <row r="61">
      <c r="A61" s="32">
        <f>IF($B61="","",IFERROR(IMAGE($B61,4,60,60),""))</f>
        <v/>
      </c>
      <c r="T61" s="68" t="n"/>
      <c r="V61" s="32">
        <f>IF($M61="","",IF($M61=0,"Out of stock",IF(OR($P61="",$Q61=""),"No window",IF(YEAR(TODAY())&lt;$P61,"Too young",IF(YEAR(TODAY())&gt;$Q61,"Past peak",IF(YEAR(TODAY())=$Q61,"Drink now","Ready"))))))</f>
        <v/>
      </c>
    </row>
    <row r="62">
      <c r="A62" s="32">
        <f>IF($B62="","",IFERROR(IMAGE($B62,4,60,60),""))</f>
        <v/>
      </c>
      <c r="T62" s="68" t="n"/>
      <c r="V62" s="32">
        <f>IF($M62="","",IF($M62=0,"Out of stock",IF(OR($P62="",$Q62=""),"No window",IF(YEAR(TODAY())&lt;$P62,"Too young",IF(YEAR(TODAY())&gt;$Q62,"Past peak",IF(YEAR(TODAY())=$Q62,"Drink now","Ready"))))))</f>
        <v/>
      </c>
    </row>
    <row r="63">
      <c r="A63" s="32">
        <f>IF($B63="","",IFERROR(IMAGE($B63,4,60,60),""))</f>
        <v/>
      </c>
      <c r="T63" s="68" t="n"/>
      <c r="V63" s="32">
        <f>IF($M63="","",IF($M63=0,"Out of stock",IF(OR($P63="",$Q63=""),"No window",IF(YEAR(TODAY())&lt;$P63,"Too young",IF(YEAR(TODAY())&gt;$Q63,"Past peak",IF(YEAR(TODAY())=$Q63,"Drink now","Ready"))))))</f>
        <v/>
      </c>
    </row>
    <row r="64">
      <c r="A64" s="32">
        <f>IF($B64="","",IFERROR(IMAGE($B64,4,60,60),""))</f>
        <v/>
      </c>
      <c r="T64" s="68" t="n"/>
      <c r="V64" s="32">
        <f>IF($M64="","",IF($M64=0,"Out of stock",IF(OR($P64="",$Q64=""),"No window",IF(YEAR(TODAY())&lt;$P64,"Too young",IF(YEAR(TODAY())&gt;$Q64,"Past peak",IF(YEAR(TODAY())=$Q64,"Drink now","Ready"))))))</f>
        <v/>
      </c>
    </row>
    <row r="65">
      <c r="A65" s="32">
        <f>IF($B65="","",IFERROR(IMAGE($B65,4,60,60),""))</f>
        <v/>
      </c>
      <c r="T65" s="68" t="n"/>
      <c r="V65" s="32">
        <f>IF($M65="","",IF($M65=0,"Out of stock",IF(OR($P65="",$Q65=""),"No window",IF(YEAR(TODAY())&lt;$P65,"Too young",IF(YEAR(TODAY())&gt;$Q65,"Past peak",IF(YEAR(TODAY())=$Q65,"Drink now","Ready"))))))</f>
        <v/>
      </c>
    </row>
    <row r="66">
      <c r="A66" s="32">
        <f>IF($B66="","",IFERROR(IMAGE($B66,4,60,60),""))</f>
        <v/>
      </c>
      <c r="T66" s="68" t="n"/>
      <c r="V66" s="32">
        <f>IF($M66="","",IF($M66=0,"Out of stock",IF(OR($P66="",$Q66=""),"No window",IF(YEAR(TODAY())&lt;$P66,"Too young",IF(YEAR(TODAY())&gt;$Q66,"Past peak",IF(YEAR(TODAY())=$Q66,"Drink now","Ready"))))))</f>
        <v/>
      </c>
    </row>
    <row r="67">
      <c r="A67" s="32">
        <f>IF($B67="","",IFERROR(IMAGE($B67,4,60,60),""))</f>
        <v/>
      </c>
      <c r="T67" s="68" t="n"/>
      <c r="V67" s="32">
        <f>IF($M67="","",IF($M67=0,"Out of stock",IF(OR($P67="",$Q67=""),"No window",IF(YEAR(TODAY())&lt;$P67,"Too young",IF(YEAR(TODAY())&gt;$Q67,"Past peak",IF(YEAR(TODAY())=$Q67,"Drink now","Ready"))))))</f>
        <v/>
      </c>
    </row>
    <row r="68">
      <c r="A68" s="32">
        <f>IF($B68="","",IFERROR(IMAGE($B68,4,60,60),""))</f>
        <v/>
      </c>
      <c r="T68" s="68" t="n"/>
      <c r="V68" s="32">
        <f>IF($M68="","",IF($M68=0,"Out of stock",IF(OR($P68="",$Q68=""),"No window",IF(YEAR(TODAY())&lt;$P68,"Too young",IF(YEAR(TODAY())&gt;$Q68,"Past peak",IF(YEAR(TODAY())=$Q68,"Drink now","Ready"))))))</f>
        <v/>
      </c>
    </row>
    <row r="69">
      <c r="A69" s="32">
        <f>IF($B69="","",IFERROR(IMAGE($B69,4,60,60),""))</f>
        <v/>
      </c>
      <c r="T69" s="68" t="n"/>
      <c r="V69" s="32">
        <f>IF($M69="","",IF($M69=0,"Out of stock",IF(OR($P69="",$Q69=""),"No window",IF(YEAR(TODAY())&lt;$P69,"Too young",IF(YEAR(TODAY())&gt;$Q69,"Past peak",IF(YEAR(TODAY())=$Q69,"Drink now","Ready"))))))</f>
        <v/>
      </c>
    </row>
    <row r="70">
      <c r="A70" s="32">
        <f>IF($B70="","",IFERROR(IMAGE($B70,4,60,60),""))</f>
        <v/>
      </c>
      <c r="T70" s="68" t="n"/>
      <c r="V70" s="32">
        <f>IF($M70="","",IF($M70=0,"Out of stock",IF(OR($P70="",$Q70=""),"No window",IF(YEAR(TODAY())&lt;$P70,"Too young",IF(YEAR(TODAY())&gt;$Q70,"Past peak",IF(YEAR(TODAY())=$Q70,"Drink now","Ready"))))))</f>
        <v/>
      </c>
    </row>
    <row r="71">
      <c r="A71" s="32">
        <f>IF($B71="","",IFERROR(IMAGE($B71,4,60,60),""))</f>
        <v/>
      </c>
      <c r="T71" s="68" t="n"/>
      <c r="V71" s="32">
        <f>IF($M71="","",IF($M71=0,"Out of stock",IF(OR($P71="",$Q71=""),"No window",IF(YEAR(TODAY())&lt;$P71,"Too young",IF(YEAR(TODAY())&gt;$Q71,"Past peak",IF(YEAR(TODAY())=$Q71,"Drink now","Ready"))))))</f>
        <v/>
      </c>
    </row>
    <row r="72">
      <c r="A72" s="32">
        <f>IF($B72="","",IFERROR(IMAGE($B72,4,60,60),""))</f>
        <v/>
      </c>
      <c r="T72" s="68" t="n"/>
      <c r="V72" s="32">
        <f>IF($M72="","",IF($M72=0,"Out of stock",IF(OR($P72="",$Q72=""),"No window",IF(YEAR(TODAY())&lt;$P72,"Too young",IF(YEAR(TODAY())&gt;$Q72,"Past peak",IF(YEAR(TODAY())=$Q72,"Drink now","Ready"))))))</f>
        <v/>
      </c>
    </row>
    <row r="73">
      <c r="A73" s="32">
        <f>IF($B73="","",IFERROR(IMAGE($B73,4,60,60),""))</f>
        <v/>
      </c>
      <c r="T73" s="68" t="n"/>
      <c r="V73" s="32">
        <f>IF($M73="","",IF($M73=0,"Out of stock",IF(OR($P73="",$Q73=""),"No window",IF(YEAR(TODAY())&lt;$P73,"Too young",IF(YEAR(TODAY())&gt;$Q73,"Past peak",IF(YEAR(TODAY())=$Q73,"Drink now","Ready"))))))</f>
        <v/>
      </c>
    </row>
    <row r="74">
      <c r="A74" s="32">
        <f>IF($B74="","",IFERROR(IMAGE($B74,4,60,60),""))</f>
        <v/>
      </c>
      <c r="T74" s="68" t="n"/>
      <c r="V74" s="32">
        <f>IF($M74="","",IF($M74=0,"Out of stock",IF(OR($P74="",$Q74=""),"No window",IF(YEAR(TODAY())&lt;$P74,"Too young",IF(YEAR(TODAY())&gt;$Q74,"Past peak",IF(YEAR(TODAY())=$Q74,"Drink now","Ready"))))))</f>
        <v/>
      </c>
    </row>
    <row r="75">
      <c r="A75" s="32">
        <f>IF($B75="","",IFERROR(IMAGE($B75,4,60,60),""))</f>
        <v/>
      </c>
      <c r="T75" s="68" t="n"/>
      <c r="V75" s="32">
        <f>IF($M75="","",IF($M75=0,"Out of stock",IF(OR($P75="",$Q75=""),"No window",IF(YEAR(TODAY())&lt;$P75,"Too young",IF(YEAR(TODAY())&gt;$Q75,"Past peak",IF(YEAR(TODAY())=$Q75,"Drink now","Ready"))))))</f>
        <v/>
      </c>
    </row>
    <row r="76">
      <c r="A76" s="32">
        <f>IF($B76="","",IFERROR(IMAGE($B76,4,60,60),""))</f>
        <v/>
      </c>
      <c r="T76" s="68" t="n"/>
      <c r="V76" s="32">
        <f>IF($M76="","",IF($M76=0,"Out of stock",IF(OR($P76="",$Q76=""),"No window",IF(YEAR(TODAY())&lt;$P76,"Too young",IF(YEAR(TODAY())&gt;$Q76,"Past peak",IF(YEAR(TODAY())=$Q76,"Drink now","Ready"))))))</f>
        <v/>
      </c>
    </row>
    <row r="77">
      <c r="A77" s="32">
        <f>IF($B77="","",IFERROR(IMAGE($B77,4,60,60),""))</f>
        <v/>
      </c>
      <c r="T77" s="68" t="n"/>
      <c r="V77" s="32">
        <f>IF($M77="","",IF($M77=0,"Out of stock",IF(OR($P77="",$Q77=""),"No window",IF(YEAR(TODAY())&lt;$P77,"Too young",IF(YEAR(TODAY())&gt;$Q77,"Past peak",IF(YEAR(TODAY())=$Q77,"Drink now","Ready"))))))</f>
        <v/>
      </c>
    </row>
    <row r="78">
      <c r="A78" s="32">
        <f>IF($B78="","",IFERROR(IMAGE($B78,4,60,60),""))</f>
        <v/>
      </c>
      <c r="T78" s="68" t="n"/>
      <c r="V78" s="32">
        <f>IF($M78="","",IF($M78=0,"Out of stock",IF(OR($P78="",$Q78=""),"No window",IF(YEAR(TODAY())&lt;$P78,"Too young",IF(YEAR(TODAY())&gt;$Q78,"Past peak",IF(YEAR(TODAY())=$Q78,"Drink now","Ready"))))))</f>
        <v/>
      </c>
    </row>
    <row r="79">
      <c r="A79" s="32">
        <f>IF($B79="","",IFERROR(IMAGE($B79,4,60,60),""))</f>
        <v/>
      </c>
      <c r="T79" s="68" t="n"/>
      <c r="V79" s="32">
        <f>IF($M79="","",IF($M79=0,"Out of stock",IF(OR($P79="",$Q79=""),"No window",IF(YEAR(TODAY())&lt;$P79,"Too young",IF(YEAR(TODAY())&gt;$Q79,"Past peak",IF(YEAR(TODAY())=$Q79,"Drink now","Ready"))))))</f>
        <v/>
      </c>
    </row>
    <row r="80">
      <c r="A80" s="32">
        <f>IF($B80="","",IFERROR(IMAGE($B80,4,60,60),""))</f>
        <v/>
      </c>
      <c r="T80" s="68" t="n"/>
      <c r="V80" s="32">
        <f>IF($M80="","",IF($M80=0,"Out of stock",IF(OR($P80="",$Q80=""),"No window",IF(YEAR(TODAY())&lt;$P80,"Too young",IF(YEAR(TODAY())&gt;$Q80,"Past peak",IF(YEAR(TODAY())=$Q80,"Drink now","Ready"))))))</f>
        <v/>
      </c>
    </row>
    <row r="81">
      <c r="A81" s="32">
        <f>IF($B81="","",IFERROR(IMAGE($B81,4,60,60),""))</f>
        <v/>
      </c>
      <c r="T81" s="68" t="n"/>
      <c r="V81" s="32">
        <f>IF($M81="","",IF($M81=0,"Out of stock",IF(OR($P81="",$Q81=""),"No window",IF(YEAR(TODAY())&lt;$P81,"Too young",IF(YEAR(TODAY())&gt;$Q81,"Past peak",IF(YEAR(TODAY())=$Q81,"Drink now","Ready"))))))</f>
        <v/>
      </c>
    </row>
    <row r="82">
      <c r="A82" s="32">
        <f>IF($B82="","",IFERROR(IMAGE($B82,4,60,60),""))</f>
        <v/>
      </c>
      <c r="T82" s="68" t="n"/>
      <c r="V82" s="32">
        <f>IF($M82="","",IF($M82=0,"Out of stock",IF(OR($P82="",$Q82=""),"No window",IF(YEAR(TODAY())&lt;$P82,"Too young",IF(YEAR(TODAY())&gt;$Q82,"Past peak",IF(YEAR(TODAY())=$Q82,"Drink now","Ready"))))))</f>
        <v/>
      </c>
    </row>
    <row r="83">
      <c r="A83" s="32">
        <f>IF($B83="","",IFERROR(IMAGE($B83,4,60,60),""))</f>
        <v/>
      </c>
      <c r="T83" s="68" t="n"/>
      <c r="V83" s="32">
        <f>IF($M83="","",IF($M83=0,"Out of stock",IF(OR($P83="",$Q83=""),"No window",IF(YEAR(TODAY())&lt;$P83,"Too young",IF(YEAR(TODAY())&gt;$Q83,"Past peak",IF(YEAR(TODAY())=$Q83,"Drink now","Ready"))))))</f>
        <v/>
      </c>
    </row>
    <row r="84">
      <c r="A84" s="32">
        <f>IF($B84="","",IFERROR(IMAGE($B84,4,60,60),""))</f>
        <v/>
      </c>
      <c r="T84" s="68" t="n"/>
      <c r="V84" s="32">
        <f>IF($M84="","",IF($M84=0,"Out of stock",IF(OR($P84="",$Q84=""),"No window",IF(YEAR(TODAY())&lt;$P84,"Too young",IF(YEAR(TODAY())&gt;$Q84,"Past peak",IF(YEAR(TODAY())=$Q84,"Drink now","Ready"))))))</f>
        <v/>
      </c>
    </row>
    <row r="85">
      <c r="A85" s="32">
        <f>IF($B85="","",IFERROR(IMAGE($B85,4,60,60),""))</f>
        <v/>
      </c>
      <c r="T85" s="68" t="n"/>
      <c r="V85" s="32">
        <f>IF($M85="","",IF($M85=0,"Out of stock",IF(OR($P85="",$Q85=""),"No window",IF(YEAR(TODAY())&lt;$P85,"Too young",IF(YEAR(TODAY())&gt;$Q85,"Past peak",IF(YEAR(TODAY())=$Q85,"Drink now","Ready"))))))</f>
        <v/>
      </c>
    </row>
    <row r="86">
      <c r="A86" s="32">
        <f>IF($B86="","",IFERROR(IMAGE($B86,4,60,60),""))</f>
        <v/>
      </c>
      <c r="T86" s="68" t="n"/>
      <c r="V86" s="32">
        <f>IF($M86="","",IF($M86=0,"Out of stock",IF(OR($P86="",$Q86=""),"No window",IF(YEAR(TODAY())&lt;$P86,"Too young",IF(YEAR(TODAY())&gt;$Q86,"Past peak",IF(YEAR(TODAY())=$Q86,"Drink now","Ready"))))))</f>
        <v/>
      </c>
    </row>
    <row r="87">
      <c r="A87" s="32">
        <f>IF($B87="","",IFERROR(IMAGE($B87,4,60,60),""))</f>
        <v/>
      </c>
      <c r="T87" s="68" t="n"/>
      <c r="V87" s="32">
        <f>IF($M87="","",IF($M87=0,"Out of stock",IF(OR($P87="",$Q87=""),"No window",IF(YEAR(TODAY())&lt;$P87,"Too young",IF(YEAR(TODAY())&gt;$Q87,"Past peak",IF(YEAR(TODAY())=$Q87,"Drink now","Ready"))))))</f>
        <v/>
      </c>
    </row>
    <row r="88">
      <c r="A88" s="32">
        <f>IF($B88="","",IFERROR(IMAGE($B88,4,60,60),""))</f>
        <v/>
      </c>
      <c r="T88" s="68" t="n"/>
      <c r="V88" s="32">
        <f>IF($M88="","",IF($M88=0,"Out of stock",IF(OR($P88="",$Q88=""),"No window",IF(YEAR(TODAY())&lt;$P88,"Too young",IF(YEAR(TODAY())&gt;$Q88,"Past peak",IF(YEAR(TODAY())=$Q88,"Drink now","Ready"))))))</f>
        <v/>
      </c>
    </row>
    <row r="89">
      <c r="A89" s="32">
        <f>IF($B89="","",IFERROR(IMAGE($B89,4,60,60),""))</f>
        <v/>
      </c>
      <c r="T89" s="68" t="n"/>
      <c r="V89" s="32">
        <f>IF($M89="","",IF($M89=0,"Out of stock",IF(OR($P89="",$Q89=""),"No window",IF(YEAR(TODAY())&lt;$P89,"Too young",IF(YEAR(TODAY())&gt;$Q89,"Past peak",IF(YEAR(TODAY())=$Q89,"Drink now","Ready"))))))</f>
        <v/>
      </c>
    </row>
    <row r="90">
      <c r="A90" s="32">
        <f>IF($B90="","",IFERROR(IMAGE($B90,4,60,60),""))</f>
        <v/>
      </c>
      <c r="T90" s="68" t="n"/>
      <c r="V90" s="32">
        <f>IF($M90="","",IF($M90=0,"Out of stock",IF(OR($P90="",$Q90=""),"No window",IF(YEAR(TODAY())&lt;$P90,"Too young",IF(YEAR(TODAY())&gt;$Q90,"Past peak",IF(YEAR(TODAY())=$Q90,"Drink now","Ready"))))))</f>
        <v/>
      </c>
    </row>
    <row r="91">
      <c r="A91" s="32">
        <f>IF($B91="","",IFERROR(IMAGE($B91,4,60,60),""))</f>
        <v/>
      </c>
      <c r="T91" s="68" t="n"/>
      <c r="V91" s="32">
        <f>IF($M91="","",IF($M91=0,"Out of stock",IF(OR($P91="",$Q91=""),"No window",IF(YEAR(TODAY())&lt;$P91,"Too young",IF(YEAR(TODAY())&gt;$Q91,"Past peak",IF(YEAR(TODAY())=$Q91,"Drink now","Ready"))))))</f>
        <v/>
      </c>
    </row>
    <row r="92">
      <c r="A92" s="32">
        <f>IF($B92="","",IFERROR(IMAGE($B92,4,60,60),""))</f>
        <v/>
      </c>
      <c r="T92" s="68" t="n"/>
      <c r="V92" s="32">
        <f>IF($M92="","",IF($M92=0,"Out of stock",IF(OR($P92="",$Q92=""),"No window",IF(YEAR(TODAY())&lt;$P92,"Too young",IF(YEAR(TODAY())&gt;$Q92,"Past peak",IF(YEAR(TODAY())=$Q92,"Drink now","Ready"))))))</f>
        <v/>
      </c>
    </row>
    <row r="93">
      <c r="A93" s="32">
        <f>IF($B93="","",IFERROR(IMAGE($B93,4,60,60),""))</f>
        <v/>
      </c>
      <c r="T93" s="68" t="n"/>
      <c r="V93" s="32">
        <f>IF($M93="","",IF($M93=0,"Out of stock",IF(OR($P93="",$Q93=""),"No window",IF(YEAR(TODAY())&lt;$P93,"Too young",IF(YEAR(TODAY())&gt;$Q93,"Past peak",IF(YEAR(TODAY())=$Q93,"Drink now","Ready"))))))</f>
        <v/>
      </c>
    </row>
    <row r="94">
      <c r="A94" s="32">
        <f>IF($B94="","",IFERROR(IMAGE($B94,4,60,60),""))</f>
        <v/>
      </c>
      <c r="T94" s="68" t="n"/>
      <c r="V94" s="32">
        <f>IF($M94="","",IF($M94=0,"Out of stock",IF(OR($P94="",$Q94=""),"No window",IF(YEAR(TODAY())&lt;$P94,"Too young",IF(YEAR(TODAY())&gt;$Q94,"Past peak",IF(YEAR(TODAY())=$Q94,"Drink now","Ready"))))))</f>
        <v/>
      </c>
    </row>
    <row r="95">
      <c r="A95" s="32">
        <f>IF($B95="","",IFERROR(IMAGE($B95,4,60,60),""))</f>
        <v/>
      </c>
      <c r="T95" s="68" t="n"/>
      <c r="V95" s="32">
        <f>IF($M95="","",IF($M95=0,"Out of stock",IF(OR($P95="",$Q95=""),"No window",IF(YEAR(TODAY())&lt;$P95,"Too young",IF(YEAR(TODAY())&gt;$Q95,"Past peak",IF(YEAR(TODAY())=$Q95,"Drink now","Ready"))))))</f>
        <v/>
      </c>
    </row>
    <row r="96">
      <c r="A96" s="32">
        <f>IF($B96="","",IFERROR(IMAGE($B96,4,60,60),""))</f>
        <v/>
      </c>
      <c r="T96" s="68" t="n"/>
      <c r="V96" s="32">
        <f>IF($M96="","",IF($M96=0,"Out of stock",IF(OR($P96="",$Q96=""),"No window",IF(YEAR(TODAY())&lt;$P96,"Too young",IF(YEAR(TODAY())&gt;$Q96,"Past peak",IF(YEAR(TODAY())=$Q96,"Drink now","Ready"))))))</f>
        <v/>
      </c>
    </row>
    <row r="97">
      <c r="A97" s="32">
        <f>IF($B97="","",IFERROR(IMAGE($B97,4,60,60),""))</f>
        <v/>
      </c>
      <c r="T97" s="68" t="n"/>
      <c r="V97" s="32">
        <f>IF($M97="","",IF($M97=0,"Out of stock",IF(OR($P97="",$Q97=""),"No window",IF(YEAR(TODAY())&lt;$P97,"Too young",IF(YEAR(TODAY())&gt;$Q97,"Past peak",IF(YEAR(TODAY())=$Q97,"Drink now","Ready"))))))</f>
        <v/>
      </c>
    </row>
    <row r="98">
      <c r="A98" s="32">
        <f>IF($B98="","",IFERROR(IMAGE($B98,4,60,60),""))</f>
        <v/>
      </c>
      <c r="T98" s="68" t="n"/>
      <c r="V98" s="32">
        <f>IF($M98="","",IF($M98=0,"Out of stock",IF(OR($P98="",$Q98=""),"No window",IF(YEAR(TODAY())&lt;$P98,"Too young",IF(YEAR(TODAY())&gt;$Q98,"Past peak",IF(YEAR(TODAY())=$Q98,"Drink now","Ready"))))))</f>
        <v/>
      </c>
    </row>
    <row r="99">
      <c r="A99" s="32">
        <f>IF($B99="","",IFERROR(IMAGE($B99,4,60,60),""))</f>
        <v/>
      </c>
      <c r="T99" s="68" t="n"/>
      <c r="V99" s="32">
        <f>IF($M99="","",IF($M99=0,"Out of stock",IF(OR($P99="",$Q99=""),"No window",IF(YEAR(TODAY())&lt;$P99,"Too young",IF(YEAR(TODAY())&gt;$Q99,"Past peak",IF(YEAR(TODAY())=$Q99,"Drink now","Ready"))))))</f>
        <v/>
      </c>
    </row>
    <row r="100">
      <c r="A100" s="32">
        <f>IF($B100="","",IFERROR(IMAGE($B100,4,60,60),""))</f>
        <v/>
      </c>
      <c r="T100" s="68" t="n"/>
      <c r="V100" s="32">
        <f>IF($M100="","",IF($M100=0,"Out of stock",IF(OR($P100="",$Q100=""),"No window",IF(YEAR(TODAY())&lt;$P100,"Too young",IF(YEAR(TODAY())&gt;$Q100,"Past peak",IF(YEAR(TODAY())=$Q100,"Drink now","Ready"))))))</f>
        <v/>
      </c>
    </row>
    <row r="101">
      <c r="A101" s="32">
        <f>IF($B101="","",IFERROR(IMAGE($B101,4,60,60),""))</f>
        <v/>
      </c>
      <c r="T101" s="68" t="n"/>
      <c r="V101" s="32">
        <f>IF($M101="","",IF($M101=0,"Out of stock",IF(OR($P101="",$Q101=""),"No window",IF(YEAR(TODAY())&lt;$P101,"Too young",IF(YEAR(TODAY())&gt;$Q101,"Past peak",IF(YEAR(TODAY())=$Q101,"Drink now","Ready"))))))</f>
        <v/>
      </c>
    </row>
    <row r="102">
      <c r="A102" s="32">
        <f>IF($B102="","",IFERROR(IMAGE($B102,4,60,60),""))</f>
        <v/>
      </c>
      <c r="T102" s="68" t="n"/>
      <c r="V102" s="32">
        <f>IF($M102="","",IF($M102=0,"Out of stock",IF(OR($P102="",$Q102=""),"No window",IF(YEAR(TODAY())&lt;$P102,"Too young",IF(YEAR(TODAY())&gt;$Q102,"Past peak",IF(YEAR(TODAY())=$Q102,"Drink now","Ready"))))))</f>
        <v/>
      </c>
    </row>
    <row r="103">
      <c r="A103" s="32">
        <f>IF($B103="","",IFERROR(IMAGE($B103,4,60,60),""))</f>
        <v/>
      </c>
      <c r="T103" s="68" t="n"/>
      <c r="V103" s="32">
        <f>IF($M103="","",IF($M103=0,"Out of stock",IF(OR($P103="",$Q103=""),"No window",IF(YEAR(TODAY())&lt;$P103,"Too young",IF(YEAR(TODAY())&gt;$Q103,"Past peak",IF(YEAR(TODAY())=$Q103,"Drink now","Ready"))))))</f>
        <v/>
      </c>
    </row>
    <row r="104">
      <c r="A104" s="32">
        <f>IF($B104="","",IFERROR(IMAGE($B104,4,60,60),""))</f>
        <v/>
      </c>
      <c r="T104" s="68" t="n"/>
      <c r="V104" s="32">
        <f>IF($M104="","",IF($M104=0,"Out of stock",IF(OR($P104="",$Q104=""),"No window",IF(YEAR(TODAY())&lt;$P104,"Too young",IF(YEAR(TODAY())&gt;$Q104,"Past peak",IF(YEAR(TODAY())=$Q104,"Drink now","Ready"))))))</f>
        <v/>
      </c>
    </row>
    <row r="105">
      <c r="A105" s="32">
        <f>IF($B105="","",IFERROR(IMAGE($B105,4,60,60),""))</f>
        <v/>
      </c>
      <c r="T105" s="68" t="n"/>
      <c r="V105" s="32">
        <f>IF($M105="","",IF($M105=0,"Out of stock",IF(OR($P105="",$Q105=""),"No window",IF(YEAR(TODAY())&lt;$P105,"Too young",IF(YEAR(TODAY())&gt;$Q105,"Past peak",IF(YEAR(TODAY())=$Q105,"Drink now","Ready"))))))</f>
        <v/>
      </c>
    </row>
    <row r="106">
      <c r="A106" s="32">
        <f>IF($B106="","",IFERROR(IMAGE($B106,4,60,60),""))</f>
        <v/>
      </c>
      <c r="T106" s="68" t="n"/>
      <c r="V106" s="32">
        <f>IF($M106="","",IF($M106=0,"Out of stock",IF(OR($P106="",$Q106=""),"No window",IF(YEAR(TODAY())&lt;$P106,"Too young",IF(YEAR(TODAY())&gt;$Q106,"Past peak",IF(YEAR(TODAY())=$Q106,"Drink now","Ready"))))))</f>
        <v/>
      </c>
    </row>
    <row r="107">
      <c r="A107" s="32">
        <f>IF($B107="","",IFERROR(IMAGE($B107,4,60,60),""))</f>
        <v/>
      </c>
      <c r="T107" s="68" t="n"/>
      <c r="V107" s="32">
        <f>IF($M107="","",IF($M107=0,"Out of stock",IF(OR($P107="",$Q107=""),"No window",IF(YEAR(TODAY())&lt;$P107,"Too young",IF(YEAR(TODAY())&gt;$Q107,"Past peak",IF(YEAR(TODAY())=$Q107,"Drink now","Ready"))))))</f>
        <v/>
      </c>
    </row>
    <row r="108">
      <c r="A108" s="32">
        <f>IF($B108="","",IFERROR(IMAGE($B108,4,60,60),""))</f>
        <v/>
      </c>
      <c r="T108" s="68" t="n"/>
      <c r="V108" s="32">
        <f>IF($M108="","",IF($M108=0,"Out of stock",IF(OR($P108="",$Q108=""),"No window",IF(YEAR(TODAY())&lt;$P108,"Too young",IF(YEAR(TODAY())&gt;$Q108,"Past peak",IF(YEAR(TODAY())=$Q108,"Drink now","Ready"))))))</f>
        <v/>
      </c>
    </row>
    <row r="109">
      <c r="A109" s="32">
        <f>IF($B109="","",IFERROR(IMAGE($B109,4,60,60),""))</f>
        <v/>
      </c>
      <c r="T109" s="68" t="n"/>
      <c r="V109" s="32">
        <f>IF($M109="","",IF($M109=0,"Out of stock",IF(OR($P109="",$Q109=""),"No window",IF(YEAR(TODAY())&lt;$P109,"Too young",IF(YEAR(TODAY())&gt;$Q109,"Past peak",IF(YEAR(TODAY())=$Q109,"Drink now","Ready"))))))</f>
        <v/>
      </c>
    </row>
    <row r="110">
      <c r="A110" s="32">
        <f>IF($B110="","",IFERROR(IMAGE($B110,4,60,60),""))</f>
        <v/>
      </c>
      <c r="T110" s="68" t="n"/>
      <c r="V110" s="32">
        <f>IF($M110="","",IF($M110=0,"Out of stock",IF(OR($P110="",$Q110=""),"No window",IF(YEAR(TODAY())&lt;$P110,"Too young",IF(YEAR(TODAY())&gt;$Q110,"Past peak",IF(YEAR(TODAY())=$Q110,"Drink now","Ready"))))))</f>
        <v/>
      </c>
    </row>
    <row r="111">
      <c r="A111" s="32">
        <f>IF($B111="","",IFERROR(IMAGE($B111,4,60,60),""))</f>
        <v/>
      </c>
      <c r="T111" s="68" t="n"/>
      <c r="V111" s="32">
        <f>IF($M111="","",IF($M111=0,"Out of stock",IF(OR($P111="",$Q111=""),"No window",IF(YEAR(TODAY())&lt;$P111,"Too young",IF(YEAR(TODAY())&gt;$Q111,"Past peak",IF(YEAR(TODAY())=$Q111,"Drink now","Ready"))))))</f>
        <v/>
      </c>
    </row>
    <row r="112">
      <c r="A112" s="32">
        <f>IF($B112="","",IFERROR(IMAGE($B112,4,60,60),""))</f>
        <v/>
      </c>
      <c r="T112" s="68" t="n"/>
      <c r="V112" s="32">
        <f>IF($M112="","",IF($M112=0,"Out of stock",IF(OR($P112="",$Q112=""),"No window",IF(YEAR(TODAY())&lt;$P112,"Too young",IF(YEAR(TODAY())&gt;$Q112,"Past peak",IF(YEAR(TODAY())=$Q112,"Drink now","Ready"))))))</f>
        <v/>
      </c>
    </row>
    <row r="113">
      <c r="A113" s="32">
        <f>IF($B113="","",IFERROR(IMAGE($B113,4,60,60),""))</f>
        <v/>
      </c>
      <c r="T113" s="68" t="n"/>
      <c r="V113" s="32">
        <f>IF($M113="","",IF($M113=0,"Out of stock",IF(OR($P113="",$Q113=""),"No window",IF(YEAR(TODAY())&lt;$P113,"Too young",IF(YEAR(TODAY())&gt;$Q113,"Past peak",IF(YEAR(TODAY())=$Q113,"Drink now","Ready"))))))</f>
        <v/>
      </c>
    </row>
    <row r="114">
      <c r="A114" s="32">
        <f>IF($B114="","",IFERROR(IMAGE($B114,4,60,60),""))</f>
        <v/>
      </c>
      <c r="T114" s="68" t="n"/>
      <c r="V114" s="32">
        <f>IF($M114="","",IF($M114=0,"Out of stock",IF(OR($P114="",$Q114=""),"No window",IF(YEAR(TODAY())&lt;$P114,"Too young",IF(YEAR(TODAY())&gt;$Q114,"Past peak",IF(YEAR(TODAY())=$Q114,"Drink now","Ready"))))))</f>
        <v/>
      </c>
    </row>
    <row r="115">
      <c r="A115" s="32">
        <f>IF($B115="","",IFERROR(IMAGE($B115,4,60,60),""))</f>
        <v/>
      </c>
      <c r="T115" s="68" t="n"/>
      <c r="V115" s="32">
        <f>IF($M115="","",IF($M115=0,"Out of stock",IF(OR($P115="",$Q115=""),"No window",IF(YEAR(TODAY())&lt;$P115,"Too young",IF(YEAR(TODAY())&gt;$Q115,"Past peak",IF(YEAR(TODAY())=$Q115,"Drink now","Ready"))))))</f>
        <v/>
      </c>
    </row>
    <row r="116">
      <c r="A116" s="32">
        <f>IF($B116="","",IFERROR(IMAGE($B116,4,60,60),""))</f>
        <v/>
      </c>
      <c r="T116" s="68" t="n"/>
      <c r="V116" s="32">
        <f>IF($M116="","",IF($M116=0,"Out of stock",IF(OR($P116="",$Q116=""),"No window",IF(YEAR(TODAY())&lt;$P116,"Too young",IF(YEAR(TODAY())&gt;$Q116,"Past peak",IF(YEAR(TODAY())=$Q116,"Drink now","Ready"))))))</f>
        <v/>
      </c>
    </row>
    <row r="117">
      <c r="A117" s="32">
        <f>IF($B117="","",IFERROR(IMAGE($B117,4,60,60),""))</f>
        <v/>
      </c>
      <c r="T117" s="68" t="n"/>
      <c r="V117" s="32">
        <f>IF($M117="","",IF($M117=0,"Out of stock",IF(OR($P117="",$Q117=""),"No window",IF(YEAR(TODAY())&lt;$P117,"Too young",IF(YEAR(TODAY())&gt;$Q117,"Past peak",IF(YEAR(TODAY())=$Q117,"Drink now","Ready"))))))</f>
        <v/>
      </c>
    </row>
    <row r="118">
      <c r="A118" s="32">
        <f>IF($B118="","",IFERROR(IMAGE($B118,4,60,60),""))</f>
        <v/>
      </c>
      <c r="T118" s="68" t="n"/>
      <c r="V118" s="32">
        <f>IF($M118="","",IF($M118=0,"Out of stock",IF(OR($P118="",$Q118=""),"No window",IF(YEAR(TODAY())&lt;$P118,"Too young",IF(YEAR(TODAY())&gt;$Q118,"Past peak",IF(YEAR(TODAY())=$Q118,"Drink now","Ready"))))))</f>
        <v/>
      </c>
    </row>
    <row r="119">
      <c r="A119" s="32">
        <f>IF($B119="","",IFERROR(IMAGE($B119,4,60,60),""))</f>
        <v/>
      </c>
      <c r="T119" s="68" t="n"/>
      <c r="V119" s="32">
        <f>IF($M119="","",IF($M119=0,"Out of stock",IF(OR($P119="",$Q119=""),"No window",IF(YEAR(TODAY())&lt;$P119,"Too young",IF(YEAR(TODAY())&gt;$Q119,"Past peak",IF(YEAR(TODAY())=$Q119,"Drink now","Ready"))))))</f>
        <v/>
      </c>
    </row>
    <row r="120">
      <c r="A120" s="32">
        <f>IF($B120="","",IFERROR(IMAGE($B120,4,60,60),""))</f>
        <v/>
      </c>
      <c r="T120" s="68" t="n"/>
      <c r="V120" s="32">
        <f>IF($M120="","",IF($M120=0,"Out of stock",IF(OR($P120="",$Q120=""),"No window",IF(YEAR(TODAY())&lt;$P120,"Too young",IF(YEAR(TODAY())&gt;$Q120,"Past peak",IF(YEAR(TODAY())=$Q120,"Drink now","Ready"))))))</f>
        <v/>
      </c>
    </row>
    <row r="121">
      <c r="A121" s="32">
        <f>IF($B121="","",IFERROR(IMAGE($B121,4,60,60),""))</f>
        <v/>
      </c>
      <c r="T121" s="68" t="n"/>
      <c r="V121" s="32">
        <f>IF($M121="","",IF($M121=0,"Out of stock",IF(OR($P121="",$Q121=""),"No window",IF(YEAR(TODAY())&lt;$P121,"Too young",IF(YEAR(TODAY())&gt;$Q121,"Past peak",IF(YEAR(TODAY())=$Q121,"Drink now","Ready"))))))</f>
        <v/>
      </c>
    </row>
    <row r="122">
      <c r="A122" s="32">
        <f>IF($B122="","",IFERROR(IMAGE($B122,4,60,60),""))</f>
        <v/>
      </c>
      <c r="T122" s="68" t="n"/>
      <c r="V122" s="32">
        <f>IF($M122="","",IF($M122=0,"Out of stock",IF(OR($P122="",$Q122=""),"No window",IF(YEAR(TODAY())&lt;$P122,"Too young",IF(YEAR(TODAY())&gt;$Q122,"Past peak",IF(YEAR(TODAY())=$Q122,"Drink now","Ready"))))))</f>
        <v/>
      </c>
    </row>
    <row r="123">
      <c r="A123" s="32">
        <f>IF($B123="","",IFERROR(IMAGE($B123,4,60,60),""))</f>
        <v/>
      </c>
      <c r="T123" s="68" t="n"/>
      <c r="V123" s="32">
        <f>IF($M123="","",IF($M123=0,"Out of stock",IF(OR($P123="",$Q123=""),"No window",IF(YEAR(TODAY())&lt;$P123,"Too young",IF(YEAR(TODAY())&gt;$Q123,"Past peak",IF(YEAR(TODAY())=$Q123,"Drink now","Ready"))))))</f>
        <v/>
      </c>
    </row>
    <row r="124">
      <c r="A124" s="32">
        <f>IF($B124="","",IFERROR(IMAGE($B124,4,60,60),""))</f>
        <v/>
      </c>
      <c r="T124" s="68" t="n"/>
      <c r="V124" s="32">
        <f>IF($M124="","",IF($M124=0,"Out of stock",IF(OR($P124="",$Q124=""),"No window",IF(YEAR(TODAY())&lt;$P124,"Too young",IF(YEAR(TODAY())&gt;$Q124,"Past peak",IF(YEAR(TODAY())=$Q124,"Drink now","Ready"))))))</f>
        <v/>
      </c>
    </row>
    <row r="125">
      <c r="A125" s="32">
        <f>IF($B125="","",IFERROR(IMAGE($B125,4,60,60),""))</f>
        <v/>
      </c>
      <c r="T125" s="68" t="n"/>
      <c r="V125" s="32">
        <f>IF($M125="","",IF($M125=0,"Out of stock",IF(OR($P125="",$Q125=""),"No window",IF(YEAR(TODAY())&lt;$P125,"Too young",IF(YEAR(TODAY())&gt;$Q125,"Past peak",IF(YEAR(TODAY())=$Q125,"Drink now","Ready"))))))</f>
        <v/>
      </c>
    </row>
    <row r="126">
      <c r="A126" s="32">
        <f>IF($B126="","",IFERROR(IMAGE($B126,4,60,60),""))</f>
        <v/>
      </c>
      <c r="T126" s="68" t="n"/>
      <c r="V126" s="32">
        <f>IF($M126="","",IF($M126=0,"Out of stock",IF(OR($P126="",$Q126=""),"No window",IF(YEAR(TODAY())&lt;$P126,"Too young",IF(YEAR(TODAY())&gt;$Q126,"Past peak",IF(YEAR(TODAY())=$Q126,"Drink now","Ready"))))))</f>
        <v/>
      </c>
    </row>
    <row r="127">
      <c r="A127" s="32">
        <f>IF($B127="","",IFERROR(IMAGE($B127,4,60,60),""))</f>
        <v/>
      </c>
      <c r="T127" s="68" t="n"/>
      <c r="V127" s="32">
        <f>IF($M127="","",IF($M127=0,"Out of stock",IF(OR($P127="",$Q127=""),"No window",IF(YEAR(TODAY())&lt;$P127,"Too young",IF(YEAR(TODAY())&gt;$Q127,"Past peak",IF(YEAR(TODAY())=$Q127,"Drink now","Ready"))))))</f>
        <v/>
      </c>
    </row>
    <row r="128">
      <c r="A128" s="32">
        <f>IF($B128="","",IFERROR(IMAGE($B128,4,60,60),""))</f>
        <v/>
      </c>
      <c r="T128" s="68" t="n"/>
      <c r="V128" s="32">
        <f>IF($M128="","",IF($M128=0,"Out of stock",IF(OR($P128="",$Q128=""),"No window",IF(YEAR(TODAY())&lt;$P128,"Too young",IF(YEAR(TODAY())&gt;$Q128,"Past peak",IF(YEAR(TODAY())=$Q128,"Drink now","Ready"))))))</f>
        <v/>
      </c>
    </row>
    <row r="129">
      <c r="A129" s="32">
        <f>IF($B129="","",IFERROR(IMAGE($B129,4,60,60),""))</f>
        <v/>
      </c>
      <c r="T129" s="68" t="n"/>
      <c r="V129" s="32">
        <f>IF($M129="","",IF($M129=0,"Out of stock",IF(OR($P129="",$Q129=""),"No window",IF(YEAR(TODAY())&lt;$P129,"Too young",IF(YEAR(TODAY())&gt;$Q129,"Past peak",IF(YEAR(TODAY())=$Q129,"Drink now","Ready"))))))</f>
        <v/>
      </c>
    </row>
    <row r="130">
      <c r="A130" s="32">
        <f>IF($B130="","",IFERROR(IMAGE($B130,4,60,60),""))</f>
        <v/>
      </c>
      <c r="T130" s="68" t="n"/>
      <c r="V130" s="32">
        <f>IF($M130="","",IF($M130=0,"Out of stock",IF(OR($P130="",$Q130=""),"No window",IF(YEAR(TODAY())&lt;$P130,"Too young",IF(YEAR(TODAY())&gt;$Q130,"Past peak",IF(YEAR(TODAY())=$Q130,"Drink now","Ready"))))))</f>
        <v/>
      </c>
    </row>
    <row r="131">
      <c r="A131" s="32">
        <f>IF($B131="","",IFERROR(IMAGE($B131,4,60,60),""))</f>
        <v/>
      </c>
      <c r="T131" s="68" t="n"/>
      <c r="V131" s="32">
        <f>IF($M131="","",IF($M131=0,"Out of stock",IF(OR($P131="",$Q131=""),"No window",IF(YEAR(TODAY())&lt;$P131,"Too young",IF(YEAR(TODAY())&gt;$Q131,"Past peak",IF(YEAR(TODAY())=$Q131,"Drink now","Ready"))))))</f>
        <v/>
      </c>
    </row>
    <row r="132">
      <c r="A132" s="32">
        <f>IF($B132="","",IFERROR(IMAGE($B132,4,60,60),""))</f>
        <v/>
      </c>
      <c r="T132" s="68" t="n"/>
      <c r="V132" s="32">
        <f>IF($M132="","",IF($M132=0,"Out of stock",IF(OR($P132="",$Q132=""),"No window",IF(YEAR(TODAY())&lt;$P132,"Too young",IF(YEAR(TODAY())&gt;$Q132,"Past peak",IF(YEAR(TODAY())=$Q132,"Drink now","Ready"))))))</f>
        <v/>
      </c>
    </row>
    <row r="133">
      <c r="A133" s="32">
        <f>IF($B133="","",IFERROR(IMAGE($B133,4,60,60),""))</f>
        <v/>
      </c>
      <c r="T133" s="68" t="n"/>
      <c r="V133" s="32">
        <f>IF($M133="","",IF($M133=0,"Out of stock",IF(OR($P133="",$Q133=""),"No window",IF(YEAR(TODAY())&lt;$P133,"Too young",IF(YEAR(TODAY())&gt;$Q133,"Past peak",IF(YEAR(TODAY())=$Q133,"Drink now","Ready"))))))</f>
        <v/>
      </c>
    </row>
    <row r="134">
      <c r="A134" s="32">
        <f>IF($B134="","",IFERROR(IMAGE($B134,4,60,60),""))</f>
        <v/>
      </c>
      <c r="T134" s="68" t="n"/>
      <c r="V134" s="32">
        <f>IF($M134="","",IF($M134=0,"Out of stock",IF(OR($P134="",$Q134=""),"No window",IF(YEAR(TODAY())&lt;$P134,"Too young",IF(YEAR(TODAY())&gt;$Q134,"Past peak",IF(YEAR(TODAY())=$Q134,"Drink now","Ready"))))))</f>
        <v/>
      </c>
    </row>
    <row r="135">
      <c r="A135" s="32">
        <f>IF($B135="","",IFERROR(IMAGE($B135,4,60,60),""))</f>
        <v/>
      </c>
      <c r="T135" s="68" t="n"/>
      <c r="V135" s="32">
        <f>IF($M135="","",IF($M135=0,"Out of stock",IF(OR($P135="",$Q135=""),"No window",IF(YEAR(TODAY())&lt;$P135,"Too young",IF(YEAR(TODAY())&gt;$Q135,"Past peak",IF(YEAR(TODAY())=$Q135,"Drink now","Ready"))))))</f>
        <v/>
      </c>
    </row>
    <row r="136">
      <c r="A136" s="32">
        <f>IF($B136="","",IFERROR(IMAGE($B136,4,60,60),""))</f>
        <v/>
      </c>
      <c r="T136" s="68" t="n"/>
      <c r="V136" s="32">
        <f>IF($M136="","",IF($M136=0,"Out of stock",IF(OR($P136="",$Q136=""),"No window",IF(YEAR(TODAY())&lt;$P136,"Too young",IF(YEAR(TODAY())&gt;$Q136,"Past peak",IF(YEAR(TODAY())=$Q136,"Drink now","Ready"))))))</f>
        <v/>
      </c>
    </row>
    <row r="137">
      <c r="A137" s="32">
        <f>IF($B137="","",IFERROR(IMAGE($B137,4,60,60),""))</f>
        <v/>
      </c>
      <c r="T137" s="68" t="n"/>
      <c r="V137" s="32">
        <f>IF($M137="","",IF($M137=0,"Out of stock",IF(OR($P137="",$Q137=""),"No window",IF(YEAR(TODAY())&lt;$P137,"Too young",IF(YEAR(TODAY())&gt;$Q137,"Past peak",IF(YEAR(TODAY())=$Q137,"Drink now","Ready"))))))</f>
        <v/>
      </c>
    </row>
    <row r="138">
      <c r="A138" s="32">
        <f>IF($B138="","",IFERROR(IMAGE($B138,4,60,60),""))</f>
        <v/>
      </c>
      <c r="T138" s="68" t="n"/>
      <c r="V138" s="32">
        <f>IF($M138="","",IF($M138=0,"Out of stock",IF(OR($P138="",$Q138=""),"No window",IF(YEAR(TODAY())&lt;$P138,"Too young",IF(YEAR(TODAY())&gt;$Q138,"Past peak",IF(YEAR(TODAY())=$Q138,"Drink now","Ready"))))))</f>
        <v/>
      </c>
    </row>
    <row r="139">
      <c r="A139" s="32">
        <f>IF($B139="","",IFERROR(IMAGE($B139,4,60,60),""))</f>
        <v/>
      </c>
      <c r="T139" s="68" t="n"/>
      <c r="V139" s="32">
        <f>IF($M139="","",IF($M139=0,"Out of stock",IF(OR($P139="",$Q139=""),"No window",IF(YEAR(TODAY())&lt;$P139,"Too young",IF(YEAR(TODAY())&gt;$Q139,"Past peak",IF(YEAR(TODAY())=$Q139,"Drink now","Ready"))))))</f>
        <v/>
      </c>
    </row>
    <row r="140">
      <c r="A140" s="32">
        <f>IF($B140="","",IFERROR(IMAGE($B140,4,60,60),""))</f>
        <v/>
      </c>
      <c r="T140" s="68" t="n"/>
      <c r="V140" s="32">
        <f>IF($M140="","",IF($M140=0,"Out of stock",IF(OR($P140="",$Q140=""),"No window",IF(YEAR(TODAY())&lt;$P140,"Too young",IF(YEAR(TODAY())&gt;$Q140,"Past peak",IF(YEAR(TODAY())=$Q140,"Drink now","Ready"))))))</f>
        <v/>
      </c>
    </row>
    <row r="141">
      <c r="A141" s="32">
        <f>IF($B141="","",IFERROR(IMAGE($B141,4,60,60),""))</f>
        <v/>
      </c>
      <c r="T141" s="68" t="n"/>
      <c r="V141" s="32">
        <f>IF($M141="","",IF($M141=0,"Out of stock",IF(OR($P141="",$Q141=""),"No window",IF(YEAR(TODAY())&lt;$P141,"Too young",IF(YEAR(TODAY())&gt;$Q141,"Past peak",IF(YEAR(TODAY())=$Q141,"Drink now","Ready"))))))</f>
        <v/>
      </c>
    </row>
    <row r="142">
      <c r="A142" s="32">
        <f>IF($B142="","",IFERROR(IMAGE($B142,4,60,60),""))</f>
        <v/>
      </c>
      <c r="T142" s="68" t="n"/>
      <c r="V142" s="32">
        <f>IF($M142="","",IF($M142=0,"Out of stock",IF(OR($P142="",$Q142=""),"No window",IF(YEAR(TODAY())&lt;$P142,"Too young",IF(YEAR(TODAY())&gt;$Q142,"Past peak",IF(YEAR(TODAY())=$Q142,"Drink now","Ready"))))))</f>
        <v/>
      </c>
    </row>
    <row r="143">
      <c r="A143" s="32">
        <f>IF($B143="","",IFERROR(IMAGE($B143,4,60,60),""))</f>
        <v/>
      </c>
      <c r="T143" s="68" t="n"/>
      <c r="V143" s="32">
        <f>IF($M143="","",IF($M143=0,"Out of stock",IF(OR($P143="",$Q143=""),"No window",IF(YEAR(TODAY())&lt;$P143,"Too young",IF(YEAR(TODAY())&gt;$Q143,"Past peak",IF(YEAR(TODAY())=$Q143,"Drink now","Ready"))))))</f>
        <v/>
      </c>
    </row>
    <row r="144">
      <c r="A144" s="32">
        <f>IF($B144="","",IFERROR(IMAGE($B144,4,60,60),""))</f>
        <v/>
      </c>
      <c r="T144" s="68" t="n"/>
      <c r="V144" s="32">
        <f>IF($M144="","",IF($M144=0,"Out of stock",IF(OR($P144="",$Q144=""),"No window",IF(YEAR(TODAY())&lt;$P144,"Too young",IF(YEAR(TODAY())&gt;$Q144,"Past peak",IF(YEAR(TODAY())=$Q144,"Drink now","Ready"))))))</f>
        <v/>
      </c>
    </row>
    <row r="145">
      <c r="A145" s="32">
        <f>IF($B145="","",IFERROR(IMAGE($B145,4,60,60),""))</f>
        <v/>
      </c>
      <c r="T145" s="68" t="n"/>
      <c r="V145" s="32">
        <f>IF($M145="","",IF($M145=0,"Out of stock",IF(OR($P145="",$Q145=""),"No window",IF(YEAR(TODAY())&lt;$P145,"Too young",IF(YEAR(TODAY())&gt;$Q145,"Past peak",IF(YEAR(TODAY())=$Q145,"Drink now","Ready"))))))</f>
        <v/>
      </c>
    </row>
    <row r="146">
      <c r="A146" s="32">
        <f>IF($B146="","",IFERROR(IMAGE($B146,4,60,60),""))</f>
        <v/>
      </c>
      <c r="T146" s="68" t="n"/>
      <c r="V146" s="32">
        <f>IF($M146="","",IF($M146=0,"Out of stock",IF(OR($P146="",$Q146=""),"No window",IF(YEAR(TODAY())&lt;$P146,"Too young",IF(YEAR(TODAY())&gt;$Q146,"Past peak",IF(YEAR(TODAY())=$Q146,"Drink now","Ready"))))))</f>
        <v/>
      </c>
    </row>
    <row r="147">
      <c r="A147" s="32">
        <f>IF($B147="","",IFERROR(IMAGE($B147,4,60,60),""))</f>
        <v/>
      </c>
      <c r="T147" s="68" t="n"/>
      <c r="V147" s="32">
        <f>IF($M147="","",IF($M147=0,"Out of stock",IF(OR($P147="",$Q147=""),"No window",IF(YEAR(TODAY())&lt;$P147,"Too young",IF(YEAR(TODAY())&gt;$Q147,"Past peak",IF(YEAR(TODAY())=$Q147,"Drink now","Ready"))))))</f>
        <v/>
      </c>
    </row>
    <row r="148">
      <c r="A148" s="32">
        <f>IF($B148="","",IFERROR(IMAGE($B148,4,60,60),""))</f>
        <v/>
      </c>
      <c r="T148" s="68" t="n"/>
      <c r="V148" s="32">
        <f>IF($M148="","",IF($M148=0,"Out of stock",IF(OR($P148="",$Q148=""),"No window",IF(YEAR(TODAY())&lt;$P148,"Too young",IF(YEAR(TODAY())&gt;$Q148,"Past peak",IF(YEAR(TODAY())=$Q148,"Drink now","Ready"))))))</f>
        <v/>
      </c>
    </row>
    <row r="149">
      <c r="A149" s="32">
        <f>IF($B149="","",IFERROR(IMAGE($B149,4,60,60),""))</f>
        <v/>
      </c>
      <c r="T149" s="68" t="n"/>
      <c r="V149" s="32">
        <f>IF($M149="","",IF($M149=0,"Out of stock",IF(OR($P149="",$Q149=""),"No window",IF(YEAR(TODAY())&lt;$P149,"Too young",IF(YEAR(TODAY())&gt;$Q149,"Past peak",IF(YEAR(TODAY())=$Q149,"Drink now","Ready"))))))</f>
        <v/>
      </c>
    </row>
    <row r="150">
      <c r="A150" s="32">
        <f>IF($B150="","",IFERROR(IMAGE($B150,4,60,60),""))</f>
        <v/>
      </c>
      <c r="T150" s="68" t="n"/>
      <c r="V150" s="32">
        <f>IF($M150="","",IF($M150=0,"Out of stock",IF(OR($P150="",$Q150=""),"No window",IF(YEAR(TODAY())&lt;$P150,"Too young",IF(YEAR(TODAY())&gt;$Q150,"Past peak",IF(YEAR(TODAY())=$Q150,"Drink now","Ready"))))))</f>
        <v/>
      </c>
    </row>
    <row r="151">
      <c r="A151" s="32">
        <f>IF($B151="","",IFERROR(IMAGE($B151,4,60,60),""))</f>
        <v/>
      </c>
      <c r="T151" s="68" t="n"/>
      <c r="V151" s="32">
        <f>IF($M151="","",IF($M151=0,"Out of stock",IF(OR($P151="",$Q151=""),"No window",IF(YEAR(TODAY())&lt;$P151,"Too young",IF(YEAR(TODAY())&gt;$Q151,"Past peak",IF(YEAR(TODAY())=$Q151,"Drink now","Ready"))))))</f>
        <v/>
      </c>
    </row>
    <row r="152">
      <c r="A152" s="32">
        <f>IF($B152="","",IFERROR(IMAGE($B152,4,60,60),""))</f>
        <v/>
      </c>
      <c r="T152" s="68" t="n"/>
      <c r="V152" s="32">
        <f>IF($M152="","",IF($M152=0,"Out of stock",IF(OR($P152="",$Q152=""),"No window",IF(YEAR(TODAY())&lt;$P152,"Too young",IF(YEAR(TODAY())&gt;$Q152,"Past peak",IF(YEAR(TODAY())=$Q152,"Drink now","Ready"))))))</f>
        <v/>
      </c>
    </row>
    <row r="153">
      <c r="A153" s="32">
        <f>IF($B153="","",IFERROR(IMAGE($B153,4,60,60),""))</f>
        <v/>
      </c>
      <c r="T153" s="68" t="n"/>
      <c r="V153" s="32">
        <f>IF($M153="","",IF($M153=0,"Out of stock",IF(OR($P153="",$Q153=""),"No window",IF(YEAR(TODAY())&lt;$P153,"Too young",IF(YEAR(TODAY())&gt;$Q153,"Past peak",IF(YEAR(TODAY())=$Q153,"Drink now","Ready"))))))</f>
        <v/>
      </c>
    </row>
    <row r="154">
      <c r="A154" s="32">
        <f>IF($B154="","",IFERROR(IMAGE($B154,4,60,60),""))</f>
        <v/>
      </c>
      <c r="T154" s="68" t="n"/>
      <c r="V154" s="32">
        <f>IF($M154="","",IF($M154=0,"Out of stock",IF(OR($P154="",$Q154=""),"No window",IF(YEAR(TODAY())&lt;$P154,"Too young",IF(YEAR(TODAY())&gt;$Q154,"Past peak",IF(YEAR(TODAY())=$Q154,"Drink now","Ready"))))))</f>
        <v/>
      </c>
    </row>
    <row r="155">
      <c r="A155" s="32">
        <f>IF($B155="","",IFERROR(IMAGE($B155,4,60,60),""))</f>
        <v/>
      </c>
      <c r="T155" s="68" t="n"/>
      <c r="V155" s="32">
        <f>IF($M155="","",IF($M155=0,"Out of stock",IF(OR($P155="",$Q155=""),"No window",IF(YEAR(TODAY())&lt;$P155,"Too young",IF(YEAR(TODAY())&gt;$Q155,"Past peak",IF(YEAR(TODAY())=$Q155,"Drink now","Ready"))))))</f>
        <v/>
      </c>
    </row>
    <row r="156">
      <c r="A156" s="32">
        <f>IF($B156="","",IFERROR(IMAGE($B156,4,60,60),""))</f>
        <v/>
      </c>
      <c r="T156" s="68" t="n"/>
      <c r="V156" s="32">
        <f>IF($M156="","",IF($M156=0,"Out of stock",IF(OR($P156="",$Q156=""),"No window",IF(YEAR(TODAY())&lt;$P156,"Too young",IF(YEAR(TODAY())&gt;$Q156,"Past peak",IF(YEAR(TODAY())=$Q156,"Drink now","Ready"))))))</f>
        <v/>
      </c>
    </row>
    <row r="157">
      <c r="A157" s="32">
        <f>IF($B157="","",IFERROR(IMAGE($B157,4,60,60),""))</f>
        <v/>
      </c>
      <c r="T157" s="68" t="n"/>
      <c r="V157" s="32">
        <f>IF($M157="","",IF($M157=0,"Out of stock",IF(OR($P157="",$Q157=""),"No window",IF(YEAR(TODAY())&lt;$P157,"Too young",IF(YEAR(TODAY())&gt;$Q157,"Past peak",IF(YEAR(TODAY())=$Q157,"Drink now","Ready"))))))</f>
        <v/>
      </c>
    </row>
    <row r="158">
      <c r="A158" s="32">
        <f>IF($B158="","",IFERROR(IMAGE($B158,4,60,60),""))</f>
        <v/>
      </c>
      <c r="T158" s="68" t="n"/>
      <c r="V158" s="32">
        <f>IF($M158="","",IF($M158=0,"Out of stock",IF(OR($P158="",$Q158=""),"No window",IF(YEAR(TODAY())&lt;$P158,"Too young",IF(YEAR(TODAY())&gt;$Q158,"Past peak",IF(YEAR(TODAY())=$Q158,"Drink now","Ready"))))))</f>
        <v/>
      </c>
    </row>
    <row r="159">
      <c r="A159" s="32">
        <f>IF($B159="","",IFERROR(IMAGE($B159,4,60,60),""))</f>
        <v/>
      </c>
      <c r="T159" s="68" t="n"/>
      <c r="V159" s="32">
        <f>IF($M159="","",IF($M159=0,"Out of stock",IF(OR($P159="",$Q159=""),"No window",IF(YEAR(TODAY())&lt;$P159,"Too young",IF(YEAR(TODAY())&gt;$Q159,"Past peak",IF(YEAR(TODAY())=$Q159,"Drink now","Ready"))))))</f>
        <v/>
      </c>
    </row>
    <row r="160">
      <c r="A160" s="32">
        <f>IF($B160="","",IFERROR(IMAGE($B160,4,60,60),""))</f>
        <v/>
      </c>
      <c r="T160" s="68" t="n"/>
      <c r="V160" s="32">
        <f>IF($M160="","",IF($M160=0,"Out of stock",IF(OR($P160="",$Q160=""),"No window",IF(YEAR(TODAY())&lt;$P160,"Too young",IF(YEAR(TODAY())&gt;$Q160,"Past peak",IF(YEAR(TODAY())=$Q160,"Drink now","Ready"))))))</f>
        <v/>
      </c>
    </row>
    <row r="161">
      <c r="A161" s="32">
        <f>IF($B161="","",IFERROR(IMAGE($B161,4,60,60),""))</f>
        <v/>
      </c>
      <c r="T161" s="68" t="n"/>
      <c r="V161" s="32">
        <f>IF($M161="","",IF($M161=0,"Out of stock",IF(OR($P161="",$Q161=""),"No window",IF(YEAR(TODAY())&lt;$P161,"Too young",IF(YEAR(TODAY())&gt;$Q161,"Past peak",IF(YEAR(TODAY())=$Q161,"Drink now","Ready"))))))</f>
        <v/>
      </c>
    </row>
    <row r="162">
      <c r="A162" s="32">
        <f>IF($B162="","",IFERROR(IMAGE($B162,4,60,60),""))</f>
        <v/>
      </c>
      <c r="T162" s="68" t="n"/>
      <c r="V162" s="32">
        <f>IF($M162="","",IF($M162=0,"Out of stock",IF(OR($P162="",$Q162=""),"No window",IF(YEAR(TODAY())&lt;$P162,"Too young",IF(YEAR(TODAY())&gt;$Q162,"Past peak",IF(YEAR(TODAY())=$Q162,"Drink now","Ready"))))))</f>
        <v/>
      </c>
    </row>
    <row r="163">
      <c r="A163" s="32">
        <f>IF($B163="","",IFERROR(IMAGE($B163,4,60,60),""))</f>
        <v/>
      </c>
      <c r="T163" s="68" t="n"/>
      <c r="V163" s="32">
        <f>IF($M163="","",IF($M163=0,"Out of stock",IF(OR($P163="",$Q163=""),"No window",IF(YEAR(TODAY())&lt;$P163,"Too young",IF(YEAR(TODAY())&gt;$Q163,"Past peak",IF(YEAR(TODAY())=$Q163,"Drink now","Ready"))))))</f>
        <v/>
      </c>
    </row>
    <row r="164">
      <c r="A164" s="32">
        <f>IF($B164="","",IFERROR(IMAGE($B164,4,60,60),""))</f>
        <v/>
      </c>
      <c r="T164" s="68" t="n"/>
      <c r="V164" s="32">
        <f>IF($M164="","",IF($M164=0,"Out of stock",IF(OR($P164="",$Q164=""),"No window",IF(YEAR(TODAY())&lt;$P164,"Too young",IF(YEAR(TODAY())&gt;$Q164,"Past peak",IF(YEAR(TODAY())=$Q164,"Drink now","Ready"))))))</f>
        <v/>
      </c>
    </row>
    <row r="165">
      <c r="A165" s="32">
        <f>IF($B165="","",IFERROR(IMAGE($B165,4,60,60),""))</f>
        <v/>
      </c>
      <c r="T165" s="68" t="n"/>
      <c r="V165" s="32">
        <f>IF($M165="","",IF($M165=0,"Out of stock",IF(OR($P165="",$Q165=""),"No window",IF(YEAR(TODAY())&lt;$P165,"Too young",IF(YEAR(TODAY())&gt;$Q165,"Past peak",IF(YEAR(TODAY())=$Q165,"Drink now","Ready"))))))</f>
        <v/>
      </c>
    </row>
    <row r="166">
      <c r="A166" s="32">
        <f>IF($B166="","",IFERROR(IMAGE($B166,4,60,60),""))</f>
        <v/>
      </c>
      <c r="T166" s="68" t="n"/>
      <c r="V166" s="32">
        <f>IF($M166="","",IF($M166=0,"Out of stock",IF(OR($P166="",$Q166=""),"No window",IF(YEAR(TODAY())&lt;$P166,"Too young",IF(YEAR(TODAY())&gt;$Q166,"Past peak",IF(YEAR(TODAY())=$Q166,"Drink now","Ready"))))))</f>
        <v/>
      </c>
    </row>
    <row r="167">
      <c r="A167" s="32">
        <f>IF($B167="","",IFERROR(IMAGE($B167,4,60,60),""))</f>
        <v/>
      </c>
      <c r="T167" s="68" t="n"/>
      <c r="V167" s="32">
        <f>IF($M167="","",IF($M167=0,"Out of stock",IF(OR($P167="",$Q167=""),"No window",IF(YEAR(TODAY())&lt;$P167,"Too young",IF(YEAR(TODAY())&gt;$Q167,"Past peak",IF(YEAR(TODAY())=$Q167,"Drink now","Ready"))))))</f>
        <v/>
      </c>
    </row>
    <row r="168">
      <c r="A168" s="32">
        <f>IF($B168="","",IFERROR(IMAGE($B168,4,60,60),""))</f>
        <v/>
      </c>
      <c r="T168" s="68" t="n"/>
      <c r="V168" s="32">
        <f>IF($M168="","",IF($M168=0,"Out of stock",IF(OR($P168="",$Q168=""),"No window",IF(YEAR(TODAY())&lt;$P168,"Too young",IF(YEAR(TODAY())&gt;$Q168,"Past peak",IF(YEAR(TODAY())=$Q168,"Drink now","Ready"))))))</f>
        <v/>
      </c>
    </row>
    <row r="169">
      <c r="A169" s="32">
        <f>IF($B169="","",IFERROR(IMAGE($B169,4,60,60),""))</f>
        <v/>
      </c>
      <c r="T169" s="68" t="n"/>
      <c r="V169" s="32">
        <f>IF($M169="","",IF($M169=0,"Out of stock",IF(OR($P169="",$Q169=""),"No window",IF(YEAR(TODAY())&lt;$P169,"Too young",IF(YEAR(TODAY())&gt;$Q169,"Past peak",IF(YEAR(TODAY())=$Q169,"Drink now","Ready"))))))</f>
        <v/>
      </c>
    </row>
    <row r="170">
      <c r="A170" s="32">
        <f>IF($B170="","",IFERROR(IMAGE($B170,4,60,60),""))</f>
        <v/>
      </c>
      <c r="T170" s="68" t="n"/>
      <c r="V170" s="32">
        <f>IF($M170="","",IF($M170=0,"Out of stock",IF(OR($P170="",$Q170=""),"No window",IF(YEAR(TODAY())&lt;$P170,"Too young",IF(YEAR(TODAY())&gt;$Q170,"Past peak",IF(YEAR(TODAY())=$Q170,"Drink now","Ready"))))))</f>
        <v/>
      </c>
    </row>
    <row r="171">
      <c r="A171" s="32">
        <f>IF($B171="","",IFERROR(IMAGE($B171,4,60,60),""))</f>
        <v/>
      </c>
      <c r="T171" s="68" t="n"/>
      <c r="V171" s="32">
        <f>IF($M171="","",IF($M171=0,"Out of stock",IF(OR($P171="",$Q171=""),"No window",IF(YEAR(TODAY())&lt;$P171,"Too young",IF(YEAR(TODAY())&gt;$Q171,"Past peak",IF(YEAR(TODAY())=$Q171,"Drink now","Ready"))))))</f>
        <v/>
      </c>
    </row>
    <row r="172">
      <c r="A172" s="32">
        <f>IF($B172="","",IFERROR(IMAGE($B172,4,60,60),""))</f>
        <v/>
      </c>
      <c r="T172" s="68" t="n"/>
      <c r="V172" s="32">
        <f>IF($M172="","",IF($M172=0,"Out of stock",IF(OR($P172="",$Q172=""),"No window",IF(YEAR(TODAY())&lt;$P172,"Too young",IF(YEAR(TODAY())&gt;$Q172,"Past peak",IF(YEAR(TODAY())=$Q172,"Drink now","Ready"))))))</f>
        <v/>
      </c>
    </row>
    <row r="173">
      <c r="A173" s="32">
        <f>IF($B173="","",IFERROR(IMAGE($B173,4,60,60),""))</f>
        <v/>
      </c>
      <c r="T173" s="68" t="n"/>
      <c r="V173" s="32">
        <f>IF($M173="","",IF($M173=0,"Out of stock",IF(OR($P173="",$Q173=""),"No window",IF(YEAR(TODAY())&lt;$P173,"Too young",IF(YEAR(TODAY())&gt;$Q173,"Past peak",IF(YEAR(TODAY())=$Q173,"Drink now","Ready"))))))</f>
        <v/>
      </c>
    </row>
    <row r="174">
      <c r="A174" s="32">
        <f>IF($B174="","",IFERROR(IMAGE($B174,4,60,60),""))</f>
        <v/>
      </c>
      <c r="T174" s="68" t="n"/>
      <c r="V174" s="32">
        <f>IF($M174="","",IF($M174=0,"Out of stock",IF(OR($P174="",$Q174=""),"No window",IF(YEAR(TODAY())&lt;$P174,"Too young",IF(YEAR(TODAY())&gt;$Q174,"Past peak",IF(YEAR(TODAY())=$Q174,"Drink now","Ready"))))))</f>
        <v/>
      </c>
    </row>
    <row r="175">
      <c r="A175" s="32">
        <f>IF($B175="","",IFERROR(IMAGE($B175,4,60,60),""))</f>
        <v/>
      </c>
      <c r="T175" s="68" t="n"/>
      <c r="V175" s="32">
        <f>IF($M175="","",IF($M175=0,"Out of stock",IF(OR($P175="",$Q175=""),"No window",IF(YEAR(TODAY())&lt;$P175,"Too young",IF(YEAR(TODAY())&gt;$Q175,"Past peak",IF(YEAR(TODAY())=$Q175,"Drink now","Ready"))))))</f>
        <v/>
      </c>
    </row>
    <row r="176">
      <c r="A176" s="32">
        <f>IF($B176="","",IFERROR(IMAGE($B176,4,60,60),""))</f>
        <v/>
      </c>
      <c r="T176" s="68" t="n"/>
      <c r="V176" s="32">
        <f>IF($M176="","",IF($M176=0,"Out of stock",IF(OR($P176="",$Q176=""),"No window",IF(YEAR(TODAY())&lt;$P176,"Too young",IF(YEAR(TODAY())&gt;$Q176,"Past peak",IF(YEAR(TODAY())=$Q176,"Drink now","Ready"))))))</f>
        <v/>
      </c>
    </row>
    <row r="177">
      <c r="A177" s="32">
        <f>IF($B177="","",IFERROR(IMAGE($B177,4,60,60),""))</f>
        <v/>
      </c>
      <c r="T177" s="68" t="n"/>
      <c r="V177" s="32">
        <f>IF($M177="","",IF($M177=0,"Out of stock",IF(OR($P177="",$Q177=""),"No window",IF(YEAR(TODAY())&lt;$P177,"Too young",IF(YEAR(TODAY())&gt;$Q177,"Past peak",IF(YEAR(TODAY())=$Q177,"Drink now","Ready"))))))</f>
        <v/>
      </c>
    </row>
    <row r="178">
      <c r="A178" s="32">
        <f>IF($B178="","",IFERROR(IMAGE($B178,4,60,60),""))</f>
        <v/>
      </c>
      <c r="T178" s="68" t="n"/>
      <c r="V178" s="32">
        <f>IF($M178="","",IF($M178=0,"Out of stock",IF(OR($P178="",$Q178=""),"No window",IF(YEAR(TODAY())&lt;$P178,"Too young",IF(YEAR(TODAY())&gt;$Q178,"Past peak",IF(YEAR(TODAY())=$Q178,"Drink now","Ready"))))))</f>
        <v/>
      </c>
    </row>
    <row r="179">
      <c r="A179" s="32">
        <f>IF($B179="","",IFERROR(IMAGE($B179,4,60,60),""))</f>
        <v/>
      </c>
      <c r="T179" s="68" t="n"/>
      <c r="V179" s="32">
        <f>IF($M179="","",IF($M179=0,"Out of stock",IF(OR($P179="",$Q179=""),"No window",IF(YEAR(TODAY())&lt;$P179,"Too young",IF(YEAR(TODAY())&gt;$Q179,"Past peak",IF(YEAR(TODAY())=$Q179,"Drink now","Ready"))))))</f>
        <v/>
      </c>
    </row>
    <row r="180">
      <c r="A180" s="32">
        <f>IF($B180="","",IFERROR(IMAGE($B180,4,60,60),""))</f>
        <v/>
      </c>
      <c r="T180" s="68" t="n"/>
      <c r="V180" s="32">
        <f>IF($M180="","",IF($M180=0,"Out of stock",IF(OR($P180="",$Q180=""),"No window",IF(YEAR(TODAY())&lt;$P180,"Too young",IF(YEAR(TODAY())&gt;$Q180,"Past peak",IF(YEAR(TODAY())=$Q180,"Drink now","Ready"))))))</f>
        <v/>
      </c>
    </row>
    <row r="181">
      <c r="A181" s="32">
        <f>IF($B181="","",IFERROR(IMAGE($B181,4,60,60),""))</f>
        <v/>
      </c>
      <c r="T181" s="68" t="n"/>
      <c r="V181" s="32">
        <f>IF($M181="","",IF($M181=0,"Out of stock",IF(OR($P181="",$Q181=""),"No window",IF(YEAR(TODAY())&lt;$P181,"Too young",IF(YEAR(TODAY())&gt;$Q181,"Past peak",IF(YEAR(TODAY())=$Q181,"Drink now","Ready"))))))</f>
        <v/>
      </c>
    </row>
    <row r="182">
      <c r="A182" s="32">
        <f>IF($B182="","",IFERROR(IMAGE($B182,4,60,60),""))</f>
        <v/>
      </c>
      <c r="T182" s="68" t="n"/>
      <c r="V182" s="32">
        <f>IF($M182="","",IF($M182=0,"Out of stock",IF(OR($P182="",$Q182=""),"No window",IF(YEAR(TODAY())&lt;$P182,"Too young",IF(YEAR(TODAY())&gt;$Q182,"Past peak",IF(YEAR(TODAY())=$Q182,"Drink now","Ready"))))))</f>
        <v/>
      </c>
    </row>
    <row r="183">
      <c r="A183" s="32">
        <f>IF($B183="","",IFERROR(IMAGE($B183,4,60,60),""))</f>
        <v/>
      </c>
      <c r="T183" s="68" t="n"/>
      <c r="V183" s="32">
        <f>IF($M183="","",IF($M183=0,"Out of stock",IF(OR($P183="",$Q183=""),"No window",IF(YEAR(TODAY())&lt;$P183,"Too young",IF(YEAR(TODAY())&gt;$Q183,"Past peak",IF(YEAR(TODAY())=$Q183,"Drink now","Ready"))))))</f>
        <v/>
      </c>
    </row>
    <row r="184">
      <c r="A184" s="32">
        <f>IF($B184="","",IFERROR(IMAGE($B184,4,60,60),""))</f>
        <v/>
      </c>
      <c r="T184" s="68" t="n"/>
      <c r="V184" s="32">
        <f>IF($M184="","",IF($M184=0,"Out of stock",IF(OR($P184="",$Q184=""),"No window",IF(YEAR(TODAY())&lt;$P184,"Too young",IF(YEAR(TODAY())&gt;$Q184,"Past peak",IF(YEAR(TODAY())=$Q184,"Drink now","Ready"))))))</f>
        <v/>
      </c>
    </row>
    <row r="185">
      <c r="A185" s="32">
        <f>IF($B185="","",IFERROR(IMAGE($B185,4,60,60),""))</f>
        <v/>
      </c>
      <c r="T185" s="68" t="n"/>
      <c r="V185" s="32">
        <f>IF($M185="","",IF($M185=0,"Out of stock",IF(OR($P185="",$Q185=""),"No window",IF(YEAR(TODAY())&lt;$P185,"Too young",IF(YEAR(TODAY())&gt;$Q185,"Past peak",IF(YEAR(TODAY())=$Q185,"Drink now","Ready"))))))</f>
        <v/>
      </c>
    </row>
    <row r="186">
      <c r="A186" s="32">
        <f>IF($B186="","",IFERROR(IMAGE($B186,4,60,60),""))</f>
        <v/>
      </c>
      <c r="T186" s="68" t="n"/>
      <c r="V186" s="32">
        <f>IF($M186="","",IF($M186=0,"Out of stock",IF(OR($P186="",$Q186=""),"No window",IF(YEAR(TODAY())&lt;$P186,"Too young",IF(YEAR(TODAY())&gt;$Q186,"Past peak",IF(YEAR(TODAY())=$Q186,"Drink now","Ready"))))))</f>
        <v/>
      </c>
    </row>
    <row r="187">
      <c r="A187" s="32">
        <f>IF($B187="","",IFERROR(IMAGE($B187,4,60,60),""))</f>
        <v/>
      </c>
      <c r="T187" s="68" t="n"/>
      <c r="V187" s="32">
        <f>IF($M187="","",IF($M187=0,"Out of stock",IF(OR($P187="",$Q187=""),"No window",IF(YEAR(TODAY())&lt;$P187,"Too young",IF(YEAR(TODAY())&gt;$Q187,"Past peak",IF(YEAR(TODAY())=$Q187,"Drink now","Ready"))))))</f>
        <v/>
      </c>
    </row>
    <row r="188">
      <c r="A188" s="32">
        <f>IF($B188="","",IFERROR(IMAGE($B188,4,60,60),""))</f>
        <v/>
      </c>
      <c r="T188" s="68" t="n"/>
      <c r="V188" s="32">
        <f>IF($M188="","",IF($M188=0,"Out of stock",IF(OR($P188="",$Q188=""),"No window",IF(YEAR(TODAY())&lt;$P188,"Too young",IF(YEAR(TODAY())&gt;$Q188,"Past peak",IF(YEAR(TODAY())=$Q188,"Drink now","Ready"))))))</f>
        <v/>
      </c>
    </row>
    <row r="189">
      <c r="A189" s="32">
        <f>IF($B189="","",IFERROR(IMAGE($B189,4,60,60),""))</f>
        <v/>
      </c>
      <c r="T189" s="68" t="n"/>
      <c r="V189" s="32">
        <f>IF($M189="","",IF($M189=0,"Out of stock",IF(OR($P189="",$Q189=""),"No window",IF(YEAR(TODAY())&lt;$P189,"Too young",IF(YEAR(TODAY())&gt;$Q189,"Past peak",IF(YEAR(TODAY())=$Q189,"Drink now","Ready"))))))</f>
        <v/>
      </c>
    </row>
    <row r="190">
      <c r="A190" s="32">
        <f>IF($B190="","",IFERROR(IMAGE($B190,4,60,60),""))</f>
        <v/>
      </c>
      <c r="T190" s="68" t="n"/>
      <c r="V190" s="32">
        <f>IF($M190="","",IF($M190=0,"Out of stock",IF(OR($P190="",$Q190=""),"No window",IF(YEAR(TODAY())&lt;$P190,"Too young",IF(YEAR(TODAY())&gt;$Q190,"Past peak",IF(YEAR(TODAY())=$Q190,"Drink now","Ready"))))))</f>
        <v/>
      </c>
    </row>
    <row r="191">
      <c r="A191" s="32">
        <f>IF($B191="","",IFERROR(IMAGE($B191,4,60,60),""))</f>
        <v/>
      </c>
      <c r="T191" s="68" t="n"/>
      <c r="V191" s="32">
        <f>IF($M191="","",IF($M191=0,"Out of stock",IF(OR($P191="",$Q191=""),"No window",IF(YEAR(TODAY())&lt;$P191,"Too young",IF(YEAR(TODAY())&gt;$Q191,"Past peak",IF(YEAR(TODAY())=$Q191,"Drink now","Ready"))))))</f>
        <v/>
      </c>
    </row>
    <row r="192">
      <c r="A192" s="32">
        <f>IF($B192="","",IFERROR(IMAGE($B192,4,60,60),""))</f>
        <v/>
      </c>
      <c r="T192" s="68" t="n"/>
      <c r="V192" s="32">
        <f>IF($M192="","",IF($M192=0,"Out of stock",IF(OR($P192="",$Q192=""),"No window",IF(YEAR(TODAY())&lt;$P192,"Too young",IF(YEAR(TODAY())&gt;$Q192,"Past peak",IF(YEAR(TODAY())=$Q192,"Drink now","Ready"))))))</f>
        <v/>
      </c>
    </row>
    <row r="193">
      <c r="A193" s="32">
        <f>IF($B193="","",IFERROR(IMAGE($B193,4,60,60),""))</f>
        <v/>
      </c>
      <c r="T193" s="68" t="n"/>
      <c r="V193" s="32">
        <f>IF($M193="","",IF($M193=0,"Out of stock",IF(OR($P193="",$Q193=""),"No window",IF(YEAR(TODAY())&lt;$P193,"Too young",IF(YEAR(TODAY())&gt;$Q193,"Past peak",IF(YEAR(TODAY())=$Q193,"Drink now","Ready"))))))</f>
        <v/>
      </c>
    </row>
    <row r="194">
      <c r="A194" s="32">
        <f>IF($B194="","",IFERROR(IMAGE($B194,4,60,60),""))</f>
        <v/>
      </c>
      <c r="T194" s="68" t="n"/>
      <c r="V194" s="32">
        <f>IF($M194="","",IF($M194=0,"Out of stock",IF(OR($P194="",$Q194=""),"No window",IF(YEAR(TODAY())&lt;$P194,"Too young",IF(YEAR(TODAY())&gt;$Q194,"Past peak",IF(YEAR(TODAY())=$Q194,"Drink now","Ready"))))))</f>
        <v/>
      </c>
    </row>
    <row r="195">
      <c r="A195" s="32">
        <f>IF($B195="","",IFERROR(IMAGE($B195,4,60,60),""))</f>
        <v/>
      </c>
      <c r="T195" s="68" t="n"/>
      <c r="V195" s="32">
        <f>IF($M195="","",IF($M195=0,"Out of stock",IF(OR($P195="",$Q195=""),"No window",IF(YEAR(TODAY())&lt;$P195,"Too young",IF(YEAR(TODAY())&gt;$Q195,"Past peak",IF(YEAR(TODAY())=$Q195,"Drink now","Ready"))))))</f>
        <v/>
      </c>
    </row>
    <row r="196">
      <c r="A196" s="32">
        <f>IF($B196="","",IFERROR(IMAGE($B196,4,60,60),""))</f>
        <v/>
      </c>
      <c r="T196" s="68" t="n"/>
      <c r="V196" s="32">
        <f>IF($M196="","",IF($M196=0,"Out of stock",IF(OR($P196="",$Q196=""),"No window",IF(YEAR(TODAY())&lt;$P196,"Too young",IF(YEAR(TODAY())&gt;$Q196,"Past peak",IF(YEAR(TODAY())=$Q196,"Drink now","Ready"))))))</f>
        <v/>
      </c>
    </row>
    <row r="197">
      <c r="A197" s="32">
        <f>IF($B197="","",IFERROR(IMAGE($B197,4,60,60),""))</f>
        <v/>
      </c>
      <c r="T197" s="68" t="n"/>
      <c r="V197" s="32">
        <f>IF($M197="","",IF($M197=0,"Out of stock",IF(OR($P197="",$Q197=""),"No window",IF(YEAR(TODAY())&lt;$P197,"Too young",IF(YEAR(TODAY())&gt;$Q197,"Past peak",IF(YEAR(TODAY())=$Q197,"Drink now","Ready"))))))</f>
        <v/>
      </c>
    </row>
    <row r="198">
      <c r="A198" s="32">
        <f>IF($B198="","",IFERROR(IMAGE($B198,4,60,60),""))</f>
        <v/>
      </c>
      <c r="T198" s="68" t="n"/>
      <c r="V198" s="32">
        <f>IF($M198="","",IF($M198=0,"Out of stock",IF(OR($P198="",$Q198=""),"No window",IF(YEAR(TODAY())&lt;$P198,"Too young",IF(YEAR(TODAY())&gt;$Q198,"Past peak",IF(YEAR(TODAY())=$Q198,"Drink now","Ready"))))))</f>
        <v/>
      </c>
    </row>
    <row r="199">
      <c r="A199" s="32">
        <f>IF($B199="","",IFERROR(IMAGE($B199,4,60,60),""))</f>
        <v/>
      </c>
      <c r="T199" s="68" t="n"/>
      <c r="V199" s="32">
        <f>IF($M199="","",IF($M199=0,"Out of stock",IF(OR($P199="",$Q199=""),"No window",IF(YEAR(TODAY())&lt;$P199,"Too young",IF(YEAR(TODAY())&gt;$Q199,"Past peak",IF(YEAR(TODAY())=$Q199,"Drink now","Ready"))))))</f>
        <v/>
      </c>
    </row>
    <row r="200">
      <c r="A200" s="32">
        <f>IF($B200="","",IFERROR(IMAGE($B200,4,60,60),""))</f>
        <v/>
      </c>
      <c r="T200" s="68" t="n"/>
      <c r="V200" s="32">
        <f>IF($M200="","",IF($M200=0,"Out of stock",IF(OR($P200="",$Q200=""),"No window",IF(YEAR(TODAY())&lt;$P200,"Too young",IF(YEAR(TODAY())&gt;$Q200,"Past peak",IF(YEAR(TODAY())=$Q200,"Drink now","Ready"))))))</f>
        <v/>
      </c>
    </row>
    <row r="201">
      <c r="A201" s="32">
        <f>IF($B201="","",IFERROR(IMAGE($B201,4,60,60),""))</f>
        <v/>
      </c>
      <c r="T201" s="68" t="n"/>
      <c r="V201" s="32">
        <f>IF($M201="","",IF($M201=0,"Out of stock",IF(OR($P201="",$Q201=""),"No window",IF(YEAR(TODAY())&lt;$P201,"Too young",IF(YEAR(TODAY())&gt;$Q201,"Past peak",IF(YEAR(TODAY())=$Q201,"Drink now","Ready"))))))</f>
        <v/>
      </c>
    </row>
    <row r="202">
      <c r="A202" s="32">
        <f>IF($B202="","",IFERROR(IMAGE($B202,4,60,60),""))</f>
        <v/>
      </c>
      <c r="T202" s="68" t="n"/>
      <c r="V202" s="32">
        <f>IF($M202="","",IF($M202=0,"Out of stock",IF(OR($P202="",$Q202=""),"No window",IF(YEAR(TODAY())&lt;$P202,"Too young",IF(YEAR(TODAY())&gt;$Q202,"Past peak",IF(YEAR(TODAY())=$Q202,"Drink now","Ready"))))))</f>
        <v/>
      </c>
    </row>
    <row r="203">
      <c r="A203" s="32">
        <f>IF($B203="","",IFERROR(IMAGE($B203,4,60,60),""))</f>
        <v/>
      </c>
      <c r="T203" s="68" t="n"/>
      <c r="V203" s="32">
        <f>IF($M203="","",IF($M203=0,"Out of stock",IF(OR($P203="",$Q203=""),"No window",IF(YEAR(TODAY())&lt;$P203,"Too young",IF(YEAR(TODAY())&gt;$Q203,"Past peak",IF(YEAR(TODAY())=$Q203,"Drink now","Ready"))))))</f>
        <v/>
      </c>
    </row>
    <row r="204">
      <c r="A204" s="32">
        <f>IF($B204="","",IFERROR(IMAGE($B204,4,60,60),""))</f>
        <v/>
      </c>
      <c r="T204" s="68" t="n"/>
      <c r="V204" s="32">
        <f>IF($M204="","",IF($M204=0,"Out of stock",IF(OR($P204="",$Q204=""),"No window",IF(YEAR(TODAY())&lt;$P204,"Too young",IF(YEAR(TODAY())&gt;$Q204,"Past peak",IF(YEAR(TODAY())=$Q204,"Drink now","Ready"))))))</f>
        <v/>
      </c>
    </row>
    <row r="205">
      <c r="A205" s="32">
        <f>IF($B205="","",IFERROR(IMAGE($B205,4,60,60),""))</f>
        <v/>
      </c>
      <c r="T205" s="68" t="n"/>
      <c r="V205" s="32">
        <f>IF($M205="","",IF($M205=0,"Out of stock",IF(OR($P205="",$Q205=""),"No window",IF(YEAR(TODAY())&lt;$P205,"Too young",IF(YEAR(TODAY())&gt;$Q205,"Past peak",IF(YEAR(TODAY())=$Q205,"Drink now","Ready"))))))</f>
        <v/>
      </c>
    </row>
    <row r="206">
      <c r="A206" s="32">
        <f>IF($B206="","",IFERROR(IMAGE($B206,4,60,60),""))</f>
        <v/>
      </c>
      <c r="T206" s="68" t="n"/>
      <c r="V206" s="32">
        <f>IF($M206="","",IF($M206=0,"Out of stock",IF(OR($P206="",$Q206=""),"No window",IF(YEAR(TODAY())&lt;$P206,"Too young",IF(YEAR(TODAY())&gt;$Q206,"Past peak",IF(YEAR(TODAY())=$Q206,"Drink now","Ready"))))))</f>
        <v/>
      </c>
    </row>
    <row r="207">
      <c r="A207" s="32">
        <f>IF($B207="","",IFERROR(IMAGE($B207,4,60,60),""))</f>
        <v/>
      </c>
      <c r="T207" s="68" t="n"/>
      <c r="V207" s="32">
        <f>IF($M207="","",IF($M207=0,"Out of stock",IF(OR($P207="",$Q207=""),"No window",IF(YEAR(TODAY())&lt;$P207,"Too young",IF(YEAR(TODAY())&gt;$Q207,"Past peak",IF(YEAR(TODAY())=$Q207,"Drink now","Ready"))))))</f>
        <v/>
      </c>
    </row>
    <row r="208">
      <c r="A208" s="32">
        <f>IF($B208="","",IFERROR(IMAGE($B208,4,60,60),""))</f>
        <v/>
      </c>
      <c r="T208" s="68" t="n"/>
      <c r="V208" s="32">
        <f>IF($M208="","",IF($M208=0,"Out of stock",IF(OR($P208="",$Q208=""),"No window",IF(YEAR(TODAY())&lt;$P208,"Too young",IF(YEAR(TODAY())&gt;$Q208,"Past peak",IF(YEAR(TODAY())=$Q208,"Drink now","Ready"))))))</f>
        <v/>
      </c>
    </row>
    <row r="209">
      <c r="A209" s="32">
        <f>IF($B209="","",IFERROR(IMAGE($B209,4,60,60),""))</f>
        <v/>
      </c>
      <c r="T209" s="68" t="n"/>
      <c r="V209" s="32">
        <f>IF($M209="","",IF($M209=0,"Out of stock",IF(OR($P209="",$Q209=""),"No window",IF(YEAR(TODAY())&lt;$P209,"Too young",IF(YEAR(TODAY())&gt;$Q209,"Past peak",IF(YEAR(TODAY())=$Q209,"Drink now","Ready"))))))</f>
        <v/>
      </c>
    </row>
    <row r="210">
      <c r="A210" s="32">
        <f>IF($B210="","",IFERROR(IMAGE($B210,4,60,60),""))</f>
        <v/>
      </c>
      <c r="T210" s="68" t="n"/>
      <c r="V210" s="32">
        <f>IF($M210="","",IF($M210=0,"Out of stock",IF(OR($P210="",$Q210=""),"No window",IF(YEAR(TODAY())&lt;$P210,"Too young",IF(YEAR(TODAY())&gt;$Q210,"Past peak",IF(YEAR(TODAY())=$Q210,"Drink now","Ready"))))))</f>
        <v/>
      </c>
    </row>
    <row r="211">
      <c r="A211" s="32">
        <f>IF($B211="","",IFERROR(IMAGE($B211,4,60,60),""))</f>
        <v/>
      </c>
      <c r="T211" s="68" t="n"/>
      <c r="V211" s="32">
        <f>IF($M211="","",IF($M211=0,"Out of stock",IF(OR($P211="",$Q211=""),"No window",IF(YEAR(TODAY())&lt;$P211,"Too young",IF(YEAR(TODAY())&gt;$Q211,"Past peak",IF(YEAR(TODAY())=$Q211,"Drink now","Ready"))))))</f>
        <v/>
      </c>
    </row>
    <row r="212">
      <c r="A212" s="32">
        <f>IF($B212="","",IFERROR(IMAGE($B212,4,60,60),""))</f>
        <v/>
      </c>
      <c r="T212" s="68" t="n"/>
      <c r="V212" s="32">
        <f>IF($M212="","",IF($M212=0,"Out of stock",IF(OR($P212="",$Q212=""),"No window",IF(YEAR(TODAY())&lt;$P212,"Too young",IF(YEAR(TODAY())&gt;$Q212,"Past peak",IF(YEAR(TODAY())=$Q212,"Drink now","Ready"))))))</f>
        <v/>
      </c>
    </row>
    <row r="213">
      <c r="A213" s="32">
        <f>IF($B213="","",IFERROR(IMAGE($B213,4,60,60),""))</f>
        <v/>
      </c>
      <c r="T213" s="68" t="n"/>
      <c r="V213" s="32">
        <f>IF($M213="","",IF($M213=0,"Out of stock",IF(OR($P213="",$Q213=""),"No window",IF(YEAR(TODAY())&lt;$P213,"Too young",IF(YEAR(TODAY())&gt;$Q213,"Past peak",IF(YEAR(TODAY())=$Q213,"Drink now","Ready"))))))</f>
        <v/>
      </c>
    </row>
    <row r="214">
      <c r="A214" s="32">
        <f>IF($B214="","",IFERROR(IMAGE($B214,4,60,60),""))</f>
        <v/>
      </c>
      <c r="T214" s="68" t="n"/>
      <c r="V214" s="32">
        <f>IF($M214="","",IF($M214=0,"Out of stock",IF(OR($P214="",$Q214=""),"No window",IF(YEAR(TODAY())&lt;$P214,"Too young",IF(YEAR(TODAY())&gt;$Q214,"Past peak",IF(YEAR(TODAY())=$Q214,"Drink now","Ready"))))))</f>
        <v/>
      </c>
    </row>
    <row r="215">
      <c r="A215" s="32">
        <f>IF($B215="","",IFERROR(IMAGE($B215,4,60,60),""))</f>
        <v/>
      </c>
      <c r="T215" s="68" t="n"/>
      <c r="V215" s="32">
        <f>IF($M215="","",IF($M215=0,"Out of stock",IF(OR($P215="",$Q215=""),"No window",IF(YEAR(TODAY())&lt;$P215,"Too young",IF(YEAR(TODAY())&gt;$Q215,"Past peak",IF(YEAR(TODAY())=$Q215,"Drink now","Ready"))))))</f>
        <v/>
      </c>
    </row>
    <row r="216">
      <c r="A216" s="32">
        <f>IF($B216="","",IFERROR(IMAGE($B216,4,60,60),""))</f>
        <v/>
      </c>
      <c r="T216" s="68" t="n"/>
      <c r="V216" s="32">
        <f>IF($M216="","",IF($M216=0,"Out of stock",IF(OR($P216="",$Q216=""),"No window",IF(YEAR(TODAY())&lt;$P216,"Too young",IF(YEAR(TODAY())&gt;$Q216,"Past peak",IF(YEAR(TODAY())=$Q216,"Drink now","Ready"))))))</f>
        <v/>
      </c>
    </row>
    <row r="217">
      <c r="A217" s="32">
        <f>IF($B217="","",IFERROR(IMAGE($B217,4,60,60),""))</f>
        <v/>
      </c>
      <c r="T217" s="68" t="n"/>
      <c r="V217" s="32">
        <f>IF($M217="","",IF($M217=0,"Out of stock",IF(OR($P217="",$Q217=""),"No window",IF(YEAR(TODAY())&lt;$P217,"Too young",IF(YEAR(TODAY())&gt;$Q217,"Past peak",IF(YEAR(TODAY())=$Q217,"Drink now","Ready"))))))</f>
        <v/>
      </c>
    </row>
    <row r="218">
      <c r="A218" s="32">
        <f>IF($B218="","",IFERROR(IMAGE($B218,4,60,60),""))</f>
        <v/>
      </c>
      <c r="T218" s="68" t="n"/>
      <c r="V218" s="32">
        <f>IF($M218="","",IF($M218=0,"Out of stock",IF(OR($P218="",$Q218=""),"No window",IF(YEAR(TODAY())&lt;$P218,"Too young",IF(YEAR(TODAY())&gt;$Q218,"Past peak",IF(YEAR(TODAY())=$Q218,"Drink now","Ready"))))))</f>
        <v/>
      </c>
    </row>
    <row r="219">
      <c r="A219" s="32">
        <f>IF($B219="","",IFERROR(IMAGE($B219,4,60,60),""))</f>
        <v/>
      </c>
      <c r="T219" s="68" t="n"/>
      <c r="V219" s="32">
        <f>IF($M219="","",IF($M219=0,"Out of stock",IF(OR($P219="",$Q219=""),"No window",IF(YEAR(TODAY())&lt;$P219,"Too young",IF(YEAR(TODAY())&gt;$Q219,"Past peak",IF(YEAR(TODAY())=$Q219,"Drink now","Ready"))))))</f>
        <v/>
      </c>
    </row>
    <row r="220">
      <c r="A220" s="32">
        <f>IF($B220="","",IFERROR(IMAGE($B220,4,60,60),""))</f>
        <v/>
      </c>
      <c r="T220" s="68" t="n"/>
      <c r="V220" s="32">
        <f>IF($M220="","",IF($M220=0,"Out of stock",IF(OR($P220="",$Q220=""),"No window",IF(YEAR(TODAY())&lt;$P220,"Too young",IF(YEAR(TODAY())&gt;$Q220,"Past peak",IF(YEAR(TODAY())=$Q220,"Drink now","Ready"))))))</f>
        <v/>
      </c>
    </row>
    <row r="221">
      <c r="A221" s="32">
        <f>IF($B221="","",IFERROR(IMAGE($B221,4,60,60),""))</f>
        <v/>
      </c>
      <c r="T221" s="68" t="n"/>
      <c r="V221" s="32">
        <f>IF($M221="","",IF($M221=0,"Out of stock",IF(OR($P221="",$Q221=""),"No window",IF(YEAR(TODAY())&lt;$P221,"Too young",IF(YEAR(TODAY())&gt;$Q221,"Past peak",IF(YEAR(TODAY())=$Q221,"Drink now","Ready"))))))</f>
        <v/>
      </c>
    </row>
    <row r="222">
      <c r="A222" s="32">
        <f>IF($B222="","",IFERROR(IMAGE($B222,4,60,60),""))</f>
        <v/>
      </c>
      <c r="T222" s="68" t="n"/>
      <c r="V222" s="32">
        <f>IF($M222="","",IF($M222=0,"Out of stock",IF(OR($P222="",$Q222=""),"No window",IF(YEAR(TODAY())&lt;$P222,"Too young",IF(YEAR(TODAY())&gt;$Q222,"Past peak",IF(YEAR(TODAY())=$Q222,"Drink now","Ready"))))))</f>
        <v/>
      </c>
    </row>
    <row r="223">
      <c r="A223" s="32">
        <f>IF($B223="","",IFERROR(IMAGE($B223,4,60,60),""))</f>
        <v/>
      </c>
      <c r="T223" s="68" t="n"/>
      <c r="V223" s="32">
        <f>IF($M223="","",IF($M223=0,"Out of stock",IF(OR($P223="",$Q223=""),"No window",IF(YEAR(TODAY())&lt;$P223,"Too young",IF(YEAR(TODAY())&gt;$Q223,"Past peak",IF(YEAR(TODAY())=$Q223,"Drink now","Ready"))))))</f>
        <v/>
      </c>
    </row>
    <row r="224">
      <c r="A224" s="32">
        <f>IF($B224="","",IFERROR(IMAGE($B224,4,60,60),""))</f>
        <v/>
      </c>
      <c r="T224" s="68" t="n"/>
      <c r="V224" s="32">
        <f>IF($M224="","",IF($M224=0,"Out of stock",IF(OR($P224="",$Q224=""),"No window",IF(YEAR(TODAY())&lt;$P224,"Too young",IF(YEAR(TODAY())&gt;$Q224,"Past peak",IF(YEAR(TODAY())=$Q224,"Drink now","Ready"))))))</f>
        <v/>
      </c>
    </row>
    <row r="225">
      <c r="A225" s="32">
        <f>IF($B225="","",IFERROR(IMAGE($B225,4,60,60),""))</f>
        <v/>
      </c>
      <c r="T225" s="68" t="n"/>
      <c r="V225" s="32">
        <f>IF($M225="","",IF($M225=0,"Out of stock",IF(OR($P225="",$Q225=""),"No window",IF(YEAR(TODAY())&lt;$P225,"Too young",IF(YEAR(TODAY())&gt;$Q225,"Past peak",IF(YEAR(TODAY())=$Q225,"Drink now","Ready"))))))</f>
        <v/>
      </c>
    </row>
    <row r="226">
      <c r="A226" s="32">
        <f>IF($B226="","",IFERROR(IMAGE($B226,4,60,60),""))</f>
        <v/>
      </c>
      <c r="T226" s="68" t="n"/>
      <c r="V226" s="32">
        <f>IF($M226="","",IF($M226=0,"Out of stock",IF(OR($P226="",$Q226=""),"No window",IF(YEAR(TODAY())&lt;$P226,"Too young",IF(YEAR(TODAY())&gt;$Q226,"Past peak",IF(YEAR(TODAY())=$Q226,"Drink now","Ready"))))))</f>
        <v/>
      </c>
    </row>
    <row r="227">
      <c r="A227" s="32">
        <f>IF($B227="","",IFERROR(IMAGE($B227,4,60,60),""))</f>
        <v/>
      </c>
      <c r="T227" s="68" t="n"/>
      <c r="V227" s="32">
        <f>IF($M227="","",IF($M227=0,"Out of stock",IF(OR($P227="",$Q227=""),"No window",IF(YEAR(TODAY())&lt;$P227,"Too young",IF(YEAR(TODAY())&gt;$Q227,"Past peak",IF(YEAR(TODAY())=$Q227,"Drink now","Ready"))))))</f>
        <v/>
      </c>
    </row>
    <row r="228">
      <c r="A228" s="32">
        <f>IF($B228="","",IFERROR(IMAGE($B228,4,60,60),""))</f>
        <v/>
      </c>
      <c r="T228" s="68" t="n"/>
      <c r="V228" s="32">
        <f>IF($M228="","",IF($M228=0,"Out of stock",IF(OR($P228="",$Q228=""),"No window",IF(YEAR(TODAY())&lt;$P228,"Too young",IF(YEAR(TODAY())&gt;$Q228,"Past peak",IF(YEAR(TODAY())=$Q228,"Drink now","Ready"))))))</f>
        <v/>
      </c>
    </row>
    <row r="229">
      <c r="A229" s="32">
        <f>IF($B229="","",IFERROR(IMAGE($B229,4,60,60),""))</f>
        <v/>
      </c>
      <c r="T229" s="68" t="n"/>
      <c r="V229" s="32">
        <f>IF($M229="","",IF($M229=0,"Out of stock",IF(OR($P229="",$Q229=""),"No window",IF(YEAR(TODAY())&lt;$P229,"Too young",IF(YEAR(TODAY())&gt;$Q229,"Past peak",IF(YEAR(TODAY())=$Q229,"Drink now","Ready"))))))</f>
        <v/>
      </c>
    </row>
    <row r="230">
      <c r="A230" s="32">
        <f>IF($B230="","",IFERROR(IMAGE($B230,4,60,60),""))</f>
        <v/>
      </c>
      <c r="T230" s="68" t="n"/>
      <c r="V230" s="32">
        <f>IF($M230="","",IF($M230=0,"Out of stock",IF(OR($P230="",$Q230=""),"No window",IF(YEAR(TODAY())&lt;$P230,"Too young",IF(YEAR(TODAY())&gt;$Q230,"Past peak",IF(YEAR(TODAY())=$Q230,"Drink now","Ready"))))))</f>
        <v/>
      </c>
    </row>
    <row r="231">
      <c r="A231" s="32">
        <f>IF($B231="","",IFERROR(IMAGE($B231,4,60,60),""))</f>
        <v/>
      </c>
      <c r="T231" s="68" t="n"/>
      <c r="V231" s="32">
        <f>IF($M231="","",IF($M231=0,"Out of stock",IF(OR($P231="",$Q231=""),"No window",IF(YEAR(TODAY())&lt;$P231,"Too young",IF(YEAR(TODAY())&gt;$Q231,"Past peak",IF(YEAR(TODAY())=$Q231,"Drink now","Ready"))))))</f>
        <v/>
      </c>
    </row>
    <row r="232">
      <c r="A232" s="32">
        <f>IF($B232="","",IFERROR(IMAGE($B232,4,60,60),""))</f>
        <v/>
      </c>
      <c r="T232" s="68" t="n"/>
      <c r="V232" s="32">
        <f>IF($M232="","",IF($M232=0,"Out of stock",IF(OR($P232="",$Q232=""),"No window",IF(YEAR(TODAY())&lt;$P232,"Too young",IF(YEAR(TODAY())&gt;$Q232,"Past peak",IF(YEAR(TODAY())=$Q232,"Drink now","Ready"))))))</f>
        <v/>
      </c>
    </row>
    <row r="233">
      <c r="A233" s="32">
        <f>IF($B233="","",IFERROR(IMAGE($B233,4,60,60),""))</f>
        <v/>
      </c>
      <c r="T233" s="68" t="n"/>
      <c r="V233" s="32">
        <f>IF($M233="","",IF($M233=0,"Out of stock",IF(OR($P233="",$Q233=""),"No window",IF(YEAR(TODAY())&lt;$P233,"Too young",IF(YEAR(TODAY())&gt;$Q233,"Past peak",IF(YEAR(TODAY())=$Q233,"Drink now","Ready"))))))</f>
        <v/>
      </c>
    </row>
    <row r="234">
      <c r="A234" s="32">
        <f>IF($B234="","",IFERROR(IMAGE($B234,4,60,60),""))</f>
        <v/>
      </c>
      <c r="T234" s="68" t="n"/>
      <c r="V234" s="32">
        <f>IF($M234="","",IF($M234=0,"Out of stock",IF(OR($P234="",$Q234=""),"No window",IF(YEAR(TODAY())&lt;$P234,"Too young",IF(YEAR(TODAY())&gt;$Q234,"Past peak",IF(YEAR(TODAY())=$Q234,"Drink now","Ready"))))))</f>
        <v/>
      </c>
    </row>
    <row r="235">
      <c r="A235" s="32">
        <f>IF($B235="","",IFERROR(IMAGE($B235,4,60,60),""))</f>
        <v/>
      </c>
      <c r="T235" s="68" t="n"/>
      <c r="V235" s="32">
        <f>IF($M235="","",IF($M235=0,"Out of stock",IF(OR($P235="",$Q235=""),"No window",IF(YEAR(TODAY())&lt;$P235,"Too young",IF(YEAR(TODAY())&gt;$Q235,"Past peak",IF(YEAR(TODAY())=$Q235,"Drink now","Ready"))))))</f>
        <v/>
      </c>
    </row>
    <row r="236">
      <c r="A236" s="32">
        <f>IF($B236="","",IFERROR(IMAGE($B236,4,60,60),""))</f>
        <v/>
      </c>
      <c r="T236" s="68" t="n"/>
      <c r="V236" s="32">
        <f>IF($M236="","",IF($M236=0,"Out of stock",IF(OR($P236="",$Q236=""),"No window",IF(YEAR(TODAY())&lt;$P236,"Too young",IF(YEAR(TODAY())&gt;$Q236,"Past peak",IF(YEAR(TODAY())=$Q236,"Drink now","Ready"))))))</f>
        <v/>
      </c>
    </row>
    <row r="237">
      <c r="A237" s="32">
        <f>IF($B237="","",IFERROR(IMAGE($B237,4,60,60),""))</f>
        <v/>
      </c>
      <c r="T237" s="68" t="n"/>
      <c r="V237" s="32">
        <f>IF($M237="","",IF($M237=0,"Out of stock",IF(OR($P237="",$Q237=""),"No window",IF(YEAR(TODAY())&lt;$P237,"Too young",IF(YEAR(TODAY())&gt;$Q237,"Past peak",IF(YEAR(TODAY())=$Q237,"Drink now","Ready"))))))</f>
        <v/>
      </c>
    </row>
    <row r="238">
      <c r="A238" s="32">
        <f>IF($B238="","",IFERROR(IMAGE($B238,4,60,60),""))</f>
        <v/>
      </c>
      <c r="T238" s="68" t="n"/>
      <c r="V238" s="32">
        <f>IF($M238="","",IF($M238=0,"Out of stock",IF(OR($P238="",$Q238=""),"No window",IF(YEAR(TODAY())&lt;$P238,"Too young",IF(YEAR(TODAY())&gt;$Q238,"Past peak",IF(YEAR(TODAY())=$Q238,"Drink now","Ready"))))))</f>
        <v/>
      </c>
    </row>
    <row r="239">
      <c r="A239" s="32">
        <f>IF($B239="","",IFERROR(IMAGE($B239,4,60,60),""))</f>
        <v/>
      </c>
      <c r="T239" s="68" t="n"/>
      <c r="V239" s="32">
        <f>IF($M239="","",IF($M239=0,"Out of stock",IF(OR($P239="",$Q239=""),"No window",IF(YEAR(TODAY())&lt;$P239,"Too young",IF(YEAR(TODAY())&gt;$Q239,"Past peak",IF(YEAR(TODAY())=$Q239,"Drink now","Ready"))))))</f>
        <v/>
      </c>
    </row>
    <row r="240">
      <c r="A240" s="32">
        <f>IF($B240="","",IFERROR(IMAGE($B240,4,60,60),""))</f>
        <v/>
      </c>
      <c r="T240" s="68" t="n"/>
      <c r="V240" s="32">
        <f>IF($M240="","",IF($M240=0,"Out of stock",IF(OR($P240="",$Q240=""),"No window",IF(YEAR(TODAY())&lt;$P240,"Too young",IF(YEAR(TODAY())&gt;$Q240,"Past peak",IF(YEAR(TODAY())=$Q240,"Drink now","Ready"))))))</f>
        <v/>
      </c>
    </row>
    <row r="241">
      <c r="A241" s="32">
        <f>IF($B241="","",IFERROR(IMAGE($B241,4,60,60),""))</f>
        <v/>
      </c>
      <c r="T241" s="68" t="n"/>
      <c r="V241" s="32">
        <f>IF($M241="","",IF($M241=0,"Out of stock",IF(OR($P241="",$Q241=""),"No window",IF(YEAR(TODAY())&lt;$P241,"Too young",IF(YEAR(TODAY())&gt;$Q241,"Past peak",IF(YEAR(TODAY())=$Q241,"Drink now","Ready"))))))</f>
        <v/>
      </c>
    </row>
    <row r="242">
      <c r="A242" s="32">
        <f>IF($B242="","",IFERROR(IMAGE($B242,4,60,60),""))</f>
        <v/>
      </c>
      <c r="T242" s="68" t="n"/>
      <c r="V242" s="32">
        <f>IF($M242="","",IF($M242=0,"Out of stock",IF(OR($P242="",$Q242=""),"No window",IF(YEAR(TODAY())&lt;$P242,"Too young",IF(YEAR(TODAY())&gt;$Q242,"Past peak",IF(YEAR(TODAY())=$Q242,"Drink now","Ready"))))))</f>
        <v/>
      </c>
    </row>
    <row r="243">
      <c r="A243" s="32">
        <f>IF($B243="","",IFERROR(IMAGE($B243,4,60,60),""))</f>
        <v/>
      </c>
      <c r="T243" s="68" t="n"/>
      <c r="V243" s="32">
        <f>IF($M243="","",IF($M243=0,"Out of stock",IF(OR($P243="",$Q243=""),"No window",IF(YEAR(TODAY())&lt;$P243,"Too young",IF(YEAR(TODAY())&gt;$Q243,"Past peak",IF(YEAR(TODAY())=$Q243,"Drink now","Ready"))))))</f>
        <v/>
      </c>
    </row>
    <row r="244">
      <c r="A244" s="32">
        <f>IF($B244="","",IFERROR(IMAGE($B244,4,60,60),""))</f>
        <v/>
      </c>
      <c r="T244" s="68" t="n"/>
      <c r="V244" s="32">
        <f>IF($M244="","",IF($M244=0,"Out of stock",IF(OR($P244="",$Q244=""),"No window",IF(YEAR(TODAY())&lt;$P244,"Too young",IF(YEAR(TODAY())&gt;$Q244,"Past peak",IF(YEAR(TODAY())=$Q244,"Drink now","Ready"))))))</f>
        <v/>
      </c>
    </row>
    <row r="245">
      <c r="A245" s="32">
        <f>IF($B245="","",IFERROR(IMAGE($B245,4,60,60),""))</f>
        <v/>
      </c>
      <c r="T245" s="68" t="n"/>
      <c r="V245" s="32">
        <f>IF($M245="","",IF($M245=0,"Out of stock",IF(OR($P245="",$Q245=""),"No window",IF(YEAR(TODAY())&lt;$P245,"Too young",IF(YEAR(TODAY())&gt;$Q245,"Past peak",IF(YEAR(TODAY())=$Q245,"Drink now","Ready"))))))</f>
        <v/>
      </c>
    </row>
    <row r="246">
      <c r="A246" s="32">
        <f>IF($B246="","",IFERROR(IMAGE($B246,4,60,60),""))</f>
        <v/>
      </c>
      <c r="T246" s="68" t="n"/>
      <c r="V246" s="32">
        <f>IF($M246="","",IF($M246=0,"Out of stock",IF(OR($P246="",$Q246=""),"No window",IF(YEAR(TODAY())&lt;$P246,"Too young",IF(YEAR(TODAY())&gt;$Q246,"Past peak",IF(YEAR(TODAY())=$Q246,"Drink now","Ready"))))))</f>
        <v/>
      </c>
    </row>
    <row r="247">
      <c r="A247" s="32">
        <f>IF($B247="","",IFERROR(IMAGE($B247,4,60,60),""))</f>
        <v/>
      </c>
      <c r="T247" s="68" t="n"/>
      <c r="V247" s="32">
        <f>IF($M247="","",IF($M247=0,"Out of stock",IF(OR($P247="",$Q247=""),"No window",IF(YEAR(TODAY())&lt;$P247,"Too young",IF(YEAR(TODAY())&gt;$Q247,"Past peak",IF(YEAR(TODAY())=$Q247,"Drink now","Ready"))))))</f>
        <v/>
      </c>
    </row>
    <row r="248">
      <c r="A248" s="32">
        <f>IF($B248="","",IFERROR(IMAGE($B248,4,60,60),""))</f>
        <v/>
      </c>
      <c r="T248" s="68" t="n"/>
      <c r="V248" s="32">
        <f>IF($M248="","",IF($M248=0,"Out of stock",IF(OR($P248="",$Q248=""),"No window",IF(YEAR(TODAY())&lt;$P248,"Too young",IF(YEAR(TODAY())&gt;$Q248,"Past peak",IF(YEAR(TODAY())=$Q248,"Drink now","Ready"))))))</f>
        <v/>
      </c>
    </row>
    <row r="249">
      <c r="A249" s="32">
        <f>IF($B249="","",IFERROR(IMAGE($B249,4,60,60),""))</f>
        <v/>
      </c>
      <c r="T249" s="68" t="n"/>
      <c r="V249" s="32">
        <f>IF($M249="","",IF($M249=0,"Out of stock",IF(OR($P249="",$Q249=""),"No window",IF(YEAR(TODAY())&lt;$P249,"Too young",IF(YEAR(TODAY())&gt;$Q249,"Past peak",IF(YEAR(TODAY())=$Q249,"Drink now","Ready"))))))</f>
        <v/>
      </c>
    </row>
    <row r="250">
      <c r="A250" s="32">
        <f>IF($B250="","",IFERROR(IMAGE($B250,4,60,60),""))</f>
        <v/>
      </c>
      <c r="T250" s="68" t="n"/>
      <c r="V250" s="32">
        <f>IF($M250="","",IF($M250=0,"Out of stock",IF(OR($P250="",$Q250=""),"No window",IF(YEAR(TODAY())&lt;$P250,"Too young",IF(YEAR(TODAY())&gt;$Q250,"Past peak",IF(YEAR(TODAY())=$Q250,"Drink now","Ready"))))))</f>
        <v/>
      </c>
    </row>
    <row r="251">
      <c r="A251" s="32">
        <f>IF($B251="","",IFERROR(IMAGE($B251,4,60,60),""))</f>
        <v/>
      </c>
      <c r="T251" s="68" t="n"/>
      <c r="V251" s="32">
        <f>IF($M251="","",IF($M251=0,"Out of stock",IF(OR($P251="",$Q251=""),"No window",IF(YEAR(TODAY())&lt;$P251,"Too young",IF(YEAR(TODAY())&gt;$Q251,"Past peak",IF(YEAR(TODAY())=$Q251,"Drink now","Ready"))))))</f>
        <v/>
      </c>
    </row>
    <row r="252">
      <c r="A252" s="32">
        <f>IF($B252="","",IFERROR(IMAGE($B252,4,60,60),""))</f>
        <v/>
      </c>
      <c r="T252" s="68" t="n"/>
      <c r="V252" s="32">
        <f>IF($M252="","",IF($M252=0,"Out of stock",IF(OR($P252="",$Q252=""),"No window",IF(YEAR(TODAY())&lt;$P252,"Too young",IF(YEAR(TODAY())&gt;$Q252,"Past peak",IF(YEAR(TODAY())=$Q252,"Drink now","Ready"))))))</f>
        <v/>
      </c>
    </row>
    <row r="253">
      <c r="A253" s="32">
        <f>IF($B253="","",IFERROR(IMAGE($B253,4,60,60),""))</f>
        <v/>
      </c>
      <c r="T253" s="68" t="n"/>
      <c r="V253" s="32">
        <f>IF($M253="","",IF($M253=0,"Out of stock",IF(OR($P253="",$Q253=""),"No window",IF(YEAR(TODAY())&lt;$P253,"Too young",IF(YEAR(TODAY())&gt;$Q253,"Past peak",IF(YEAR(TODAY())=$Q253,"Drink now","Ready"))))))</f>
        <v/>
      </c>
    </row>
    <row r="254">
      <c r="A254" s="32">
        <f>IF($B254="","",IFERROR(IMAGE($B254,4,60,60),""))</f>
        <v/>
      </c>
      <c r="T254" s="68" t="n"/>
      <c r="V254" s="32">
        <f>IF($M254="","",IF($M254=0,"Out of stock",IF(OR($P254="",$Q254=""),"No window",IF(YEAR(TODAY())&lt;$P254,"Too young",IF(YEAR(TODAY())&gt;$Q254,"Past peak",IF(YEAR(TODAY())=$Q254,"Drink now","Ready"))))))</f>
        <v/>
      </c>
    </row>
    <row r="255">
      <c r="A255" s="32">
        <f>IF($B255="","",IFERROR(IMAGE($B255,4,60,60),""))</f>
        <v/>
      </c>
      <c r="T255" s="68" t="n"/>
      <c r="V255" s="32">
        <f>IF($M255="","",IF($M255=0,"Out of stock",IF(OR($P255="",$Q255=""),"No window",IF(YEAR(TODAY())&lt;$P255,"Too young",IF(YEAR(TODAY())&gt;$Q255,"Past peak",IF(YEAR(TODAY())=$Q255,"Drink now","Ready"))))))</f>
        <v/>
      </c>
    </row>
    <row r="256">
      <c r="A256" s="32">
        <f>IF($B256="","",IFERROR(IMAGE($B256,4,60,60),""))</f>
        <v/>
      </c>
      <c r="T256" s="68" t="n"/>
      <c r="V256" s="32">
        <f>IF($M256="","",IF($M256=0,"Out of stock",IF(OR($P256="",$Q256=""),"No window",IF(YEAR(TODAY())&lt;$P256,"Too young",IF(YEAR(TODAY())&gt;$Q256,"Past peak",IF(YEAR(TODAY())=$Q256,"Drink now","Ready"))))))</f>
        <v/>
      </c>
    </row>
    <row r="257">
      <c r="A257" s="32">
        <f>IF($B257="","",IFERROR(IMAGE($B257,4,60,60),""))</f>
        <v/>
      </c>
      <c r="T257" s="68" t="n"/>
      <c r="V257" s="32">
        <f>IF($M257="","",IF($M257=0,"Out of stock",IF(OR($P257="",$Q257=""),"No window",IF(YEAR(TODAY())&lt;$P257,"Too young",IF(YEAR(TODAY())&gt;$Q257,"Past peak",IF(YEAR(TODAY())=$Q257,"Drink now","Ready"))))))</f>
        <v/>
      </c>
    </row>
    <row r="258">
      <c r="A258" s="32">
        <f>IF($B258="","",IFERROR(IMAGE($B258,4,60,60),""))</f>
        <v/>
      </c>
      <c r="T258" s="68" t="n"/>
      <c r="V258" s="32">
        <f>IF($M258="","",IF($M258=0,"Out of stock",IF(OR($P258="",$Q258=""),"No window",IF(YEAR(TODAY())&lt;$P258,"Too young",IF(YEAR(TODAY())&gt;$Q258,"Past peak",IF(YEAR(TODAY())=$Q258,"Drink now","Ready"))))))</f>
        <v/>
      </c>
    </row>
    <row r="259">
      <c r="A259" s="32">
        <f>IF($B259="","",IFERROR(IMAGE($B259,4,60,60),""))</f>
        <v/>
      </c>
      <c r="T259" s="68" t="n"/>
      <c r="V259" s="32">
        <f>IF($M259="","",IF($M259=0,"Out of stock",IF(OR($P259="",$Q259=""),"No window",IF(YEAR(TODAY())&lt;$P259,"Too young",IF(YEAR(TODAY())&gt;$Q259,"Past peak",IF(YEAR(TODAY())=$Q259,"Drink now","Ready"))))))</f>
        <v/>
      </c>
    </row>
    <row r="260">
      <c r="A260" s="32">
        <f>IF($B260="","",IFERROR(IMAGE($B260,4,60,60),""))</f>
        <v/>
      </c>
      <c r="T260" s="68" t="n"/>
      <c r="V260" s="32">
        <f>IF($M260="","",IF($M260=0,"Out of stock",IF(OR($P260="",$Q260=""),"No window",IF(YEAR(TODAY())&lt;$P260,"Too young",IF(YEAR(TODAY())&gt;$Q260,"Past peak",IF(YEAR(TODAY())=$Q260,"Drink now","Ready"))))))</f>
        <v/>
      </c>
    </row>
    <row r="261">
      <c r="A261" s="32">
        <f>IF($B261="","",IFERROR(IMAGE($B261,4,60,60),""))</f>
        <v/>
      </c>
      <c r="T261" s="68" t="n"/>
      <c r="V261" s="32">
        <f>IF($M261="","",IF($M261=0,"Out of stock",IF(OR($P261="",$Q261=""),"No window",IF(YEAR(TODAY())&lt;$P261,"Too young",IF(YEAR(TODAY())&gt;$Q261,"Past peak",IF(YEAR(TODAY())=$Q261,"Drink now","Ready"))))))</f>
        <v/>
      </c>
    </row>
    <row r="262">
      <c r="A262" s="32">
        <f>IF($B262="","",IFERROR(IMAGE($B262,4,60,60),""))</f>
        <v/>
      </c>
      <c r="T262" s="68" t="n"/>
      <c r="V262" s="32">
        <f>IF($M262="","",IF($M262=0,"Out of stock",IF(OR($P262="",$Q262=""),"No window",IF(YEAR(TODAY())&lt;$P262,"Too young",IF(YEAR(TODAY())&gt;$Q262,"Past peak",IF(YEAR(TODAY())=$Q262,"Drink now","Ready"))))))</f>
        <v/>
      </c>
    </row>
    <row r="263">
      <c r="A263" s="32">
        <f>IF($B263="","",IFERROR(IMAGE($B263,4,60,60),""))</f>
        <v/>
      </c>
      <c r="T263" s="68" t="n"/>
      <c r="V263" s="32">
        <f>IF($M263="","",IF($M263=0,"Out of stock",IF(OR($P263="",$Q263=""),"No window",IF(YEAR(TODAY())&lt;$P263,"Too young",IF(YEAR(TODAY())&gt;$Q263,"Past peak",IF(YEAR(TODAY())=$Q263,"Drink now","Ready"))))))</f>
        <v/>
      </c>
    </row>
    <row r="264">
      <c r="A264" s="32">
        <f>IF($B264="","",IFERROR(IMAGE($B264,4,60,60),""))</f>
        <v/>
      </c>
      <c r="T264" s="68" t="n"/>
      <c r="V264" s="32">
        <f>IF($M264="","",IF($M264=0,"Out of stock",IF(OR($P264="",$Q264=""),"No window",IF(YEAR(TODAY())&lt;$P264,"Too young",IF(YEAR(TODAY())&gt;$Q264,"Past peak",IF(YEAR(TODAY())=$Q264,"Drink now","Ready"))))))</f>
        <v/>
      </c>
    </row>
    <row r="265">
      <c r="A265" s="32">
        <f>IF($B265="","",IFERROR(IMAGE($B265,4,60,60),""))</f>
        <v/>
      </c>
      <c r="T265" s="68" t="n"/>
      <c r="V265" s="32">
        <f>IF($M265="","",IF($M265=0,"Out of stock",IF(OR($P265="",$Q265=""),"No window",IF(YEAR(TODAY())&lt;$P265,"Too young",IF(YEAR(TODAY())&gt;$Q265,"Past peak",IF(YEAR(TODAY())=$Q265,"Drink now","Ready"))))))</f>
        <v/>
      </c>
    </row>
    <row r="266">
      <c r="A266" s="32">
        <f>IF($B266="","",IFERROR(IMAGE($B266,4,60,60),""))</f>
        <v/>
      </c>
      <c r="T266" s="68" t="n"/>
      <c r="V266" s="32">
        <f>IF($M266="","",IF($M266=0,"Out of stock",IF(OR($P266="",$Q266=""),"No window",IF(YEAR(TODAY())&lt;$P266,"Too young",IF(YEAR(TODAY())&gt;$Q266,"Past peak",IF(YEAR(TODAY())=$Q266,"Drink now","Ready"))))))</f>
        <v/>
      </c>
    </row>
    <row r="267">
      <c r="A267" s="32">
        <f>IF($B267="","",IFERROR(IMAGE($B267,4,60,60),""))</f>
        <v/>
      </c>
      <c r="T267" s="68" t="n"/>
      <c r="V267" s="32">
        <f>IF($M267="","",IF($M267=0,"Out of stock",IF(OR($P267="",$Q267=""),"No window",IF(YEAR(TODAY())&lt;$P267,"Too young",IF(YEAR(TODAY())&gt;$Q267,"Past peak",IF(YEAR(TODAY())=$Q267,"Drink now","Ready"))))))</f>
        <v/>
      </c>
    </row>
    <row r="268">
      <c r="A268" s="32">
        <f>IF($B268="","",IFERROR(IMAGE($B268,4,60,60),""))</f>
        <v/>
      </c>
      <c r="T268" s="68" t="n"/>
      <c r="V268" s="32">
        <f>IF($M268="","",IF($M268=0,"Out of stock",IF(OR($P268="",$Q268=""),"No window",IF(YEAR(TODAY())&lt;$P268,"Too young",IF(YEAR(TODAY())&gt;$Q268,"Past peak",IF(YEAR(TODAY())=$Q268,"Drink now","Ready"))))))</f>
        <v/>
      </c>
    </row>
    <row r="269">
      <c r="A269" s="32">
        <f>IF($B269="","",IFERROR(IMAGE($B269,4,60,60),""))</f>
        <v/>
      </c>
      <c r="T269" s="68" t="n"/>
      <c r="V269" s="32">
        <f>IF($M269="","",IF($M269=0,"Out of stock",IF(OR($P269="",$Q269=""),"No window",IF(YEAR(TODAY())&lt;$P269,"Too young",IF(YEAR(TODAY())&gt;$Q269,"Past peak",IF(YEAR(TODAY())=$Q269,"Drink now","Ready"))))))</f>
        <v/>
      </c>
    </row>
    <row r="270">
      <c r="A270" s="32">
        <f>IF($B270="","",IFERROR(IMAGE($B270,4,60,60),""))</f>
        <v/>
      </c>
      <c r="T270" s="68" t="n"/>
      <c r="V270" s="32">
        <f>IF($M270="","",IF($M270=0,"Out of stock",IF(OR($P270="",$Q270=""),"No window",IF(YEAR(TODAY())&lt;$P270,"Too young",IF(YEAR(TODAY())&gt;$Q270,"Past peak",IF(YEAR(TODAY())=$Q270,"Drink now","Ready"))))))</f>
        <v/>
      </c>
    </row>
    <row r="271">
      <c r="A271" s="32">
        <f>IF($B271="","",IFERROR(IMAGE($B271,4,60,60),""))</f>
        <v/>
      </c>
      <c r="T271" s="68" t="n"/>
      <c r="V271" s="32">
        <f>IF($M271="","",IF($M271=0,"Out of stock",IF(OR($P271="",$Q271=""),"No window",IF(YEAR(TODAY())&lt;$P271,"Too young",IF(YEAR(TODAY())&gt;$Q271,"Past peak",IF(YEAR(TODAY())=$Q271,"Drink now","Ready"))))))</f>
        <v/>
      </c>
    </row>
    <row r="272">
      <c r="A272" s="32">
        <f>IF($B272="","",IFERROR(IMAGE($B272,4,60,60),""))</f>
        <v/>
      </c>
      <c r="T272" s="68" t="n"/>
      <c r="V272" s="32">
        <f>IF($M272="","",IF($M272=0,"Out of stock",IF(OR($P272="",$Q272=""),"No window",IF(YEAR(TODAY())&lt;$P272,"Too young",IF(YEAR(TODAY())&gt;$Q272,"Past peak",IF(YEAR(TODAY())=$Q272,"Drink now","Ready"))))))</f>
        <v/>
      </c>
    </row>
    <row r="273">
      <c r="A273" s="32">
        <f>IF($B273="","",IFERROR(IMAGE($B273,4,60,60),""))</f>
        <v/>
      </c>
      <c r="T273" s="68" t="n"/>
      <c r="V273" s="32">
        <f>IF($M273="","",IF($M273=0,"Out of stock",IF(OR($P273="",$Q273=""),"No window",IF(YEAR(TODAY())&lt;$P273,"Too young",IF(YEAR(TODAY())&gt;$Q273,"Past peak",IF(YEAR(TODAY())=$Q273,"Drink now","Ready"))))))</f>
        <v/>
      </c>
    </row>
    <row r="274">
      <c r="A274" s="32">
        <f>IF($B274="","",IFERROR(IMAGE($B274,4,60,60),""))</f>
        <v/>
      </c>
      <c r="T274" s="68" t="n"/>
      <c r="V274" s="32">
        <f>IF($M274="","",IF($M274=0,"Out of stock",IF(OR($P274="",$Q274=""),"No window",IF(YEAR(TODAY())&lt;$P274,"Too young",IF(YEAR(TODAY())&gt;$Q274,"Past peak",IF(YEAR(TODAY())=$Q274,"Drink now","Ready"))))))</f>
        <v/>
      </c>
    </row>
    <row r="275">
      <c r="A275" s="32">
        <f>IF($B275="","",IFERROR(IMAGE($B275,4,60,60),""))</f>
        <v/>
      </c>
      <c r="T275" s="68" t="n"/>
      <c r="V275" s="32">
        <f>IF($M275="","",IF($M275=0,"Out of stock",IF(OR($P275="",$Q275=""),"No window",IF(YEAR(TODAY())&lt;$P275,"Too young",IF(YEAR(TODAY())&gt;$Q275,"Past peak",IF(YEAR(TODAY())=$Q275,"Drink now","Ready"))))))</f>
        <v/>
      </c>
    </row>
    <row r="276">
      <c r="A276" s="32">
        <f>IF($B276="","",IFERROR(IMAGE($B276,4,60,60),""))</f>
        <v/>
      </c>
      <c r="T276" s="68" t="n"/>
      <c r="V276" s="32">
        <f>IF($M276="","",IF($M276=0,"Out of stock",IF(OR($P276="",$Q276=""),"No window",IF(YEAR(TODAY())&lt;$P276,"Too young",IF(YEAR(TODAY())&gt;$Q276,"Past peak",IF(YEAR(TODAY())=$Q276,"Drink now","Ready"))))))</f>
        <v/>
      </c>
    </row>
    <row r="277">
      <c r="A277" s="32">
        <f>IF($B277="","",IFERROR(IMAGE($B277,4,60,60),""))</f>
        <v/>
      </c>
      <c r="T277" s="68" t="n"/>
      <c r="V277" s="32">
        <f>IF($M277="","",IF($M277=0,"Out of stock",IF(OR($P277="",$Q277=""),"No window",IF(YEAR(TODAY())&lt;$P277,"Too young",IF(YEAR(TODAY())&gt;$Q277,"Past peak",IF(YEAR(TODAY())=$Q277,"Drink now","Ready"))))))</f>
        <v/>
      </c>
    </row>
    <row r="278">
      <c r="A278" s="32">
        <f>IF($B278="","",IFERROR(IMAGE($B278,4,60,60),""))</f>
        <v/>
      </c>
      <c r="T278" s="68" t="n"/>
      <c r="V278" s="32">
        <f>IF($M278="","",IF($M278=0,"Out of stock",IF(OR($P278="",$Q278=""),"No window",IF(YEAR(TODAY())&lt;$P278,"Too young",IF(YEAR(TODAY())&gt;$Q278,"Past peak",IF(YEAR(TODAY())=$Q278,"Drink now","Ready"))))))</f>
        <v/>
      </c>
    </row>
    <row r="279">
      <c r="A279" s="32">
        <f>IF($B279="","",IFERROR(IMAGE($B279,4,60,60),""))</f>
        <v/>
      </c>
      <c r="T279" s="68" t="n"/>
      <c r="V279" s="32">
        <f>IF($M279="","",IF($M279=0,"Out of stock",IF(OR($P279="",$Q279=""),"No window",IF(YEAR(TODAY())&lt;$P279,"Too young",IF(YEAR(TODAY())&gt;$Q279,"Past peak",IF(YEAR(TODAY())=$Q279,"Drink now","Ready"))))))</f>
        <v/>
      </c>
    </row>
    <row r="280">
      <c r="A280" s="32">
        <f>IF($B280="","",IFERROR(IMAGE($B280,4,60,60),""))</f>
        <v/>
      </c>
      <c r="T280" s="68" t="n"/>
      <c r="V280" s="32">
        <f>IF($M280="","",IF($M280=0,"Out of stock",IF(OR($P280="",$Q280=""),"No window",IF(YEAR(TODAY())&lt;$P280,"Too young",IF(YEAR(TODAY())&gt;$Q280,"Past peak",IF(YEAR(TODAY())=$Q280,"Drink now","Ready"))))))</f>
        <v/>
      </c>
    </row>
    <row r="281">
      <c r="A281" s="32">
        <f>IF($B281="","",IFERROR(IMAGE($B281,4,60,60),""))</f>
        <v/>
      </c>
      <c r="T281" s="68" t="n"/>
      <c r="V281" s="32">
        <f>IF($M281="","",IF($M281=0,"Out of stock",IF(OR($P281="",$Q281=""),"No window",IF(YEAR(TODAY())&lt;$P281,"Too young",IF(YEAR(TODAY())&gt;$Q281,"Past peak",IF(YEAR(TODAY())=$Q281,"Drink now","Ready"))))))</f>
        <v/>
      </c>
    </row>
    <row r="282">
      <c r="A282" s="32">
        <f>IF($B282="","",IFERROR(IMAGE($B282,4,60,60),""))</f>
        <v/>
      </c>
      <c r="T282" s="68" t="n"/>
      <c r="V282" s="32">
        <f>IF($M282="","",IF($M282=0,"Out of stock",IF(OR($P282="",$Q282=""),"No window",IF(YEAR(TODAY())&lt;$P282,"Too young",IF(YEAR(TODAY())&gt;$Q282,"Past peak",IF(YEAR(TODAY())=$Q282,"Drink now","Ready"))))))</f>
        <v/>
      </c>
    </row>
    <row r="283">
      <c r="A283" s="32">
        <f>IF($B283="","",IFERROR(IMAGE($B283,4,60,60),""))</f>
        <v/>
      </c>
      <c r="T283" s="68" t="n"/>
      <c r="V283" s="32">
        <f>IF($M283="","",IF($M283=0,"Out of stock",IF(OR($P283="",$Q283=""),"No window",IF(YEAR(TODAY())&lt;$P283,"Too young",IF(YEAR(TODAY())&gt;$Q283,"Past peak",IF(YEAR(TODAY())=$Q283,"Drink now","Ready"))))))</f>
        <v/>
      </c>
    </row>
    <row r="284">
      <c r="A284" s="32">
        <f>IF($B284="","",IFERROR(IMAGE($B284,4,60,60),""))</f>
        <v/>
      </c>
      <c r="T284" s="68" t="n"/>
      <c r="V284" s="32">
        <f>IF($M284="","",IF($M284=0,"Out of stock",IF(OR($P284="",$Q284=""),"No window",IF(YEAR(TODAY())&lt;$P284,"Too young",IF(YEAR(TODAY())&gt;$Q284,"Past peak",IF(YEAR(TODAY())=$Q284,"Drink now","Ready"))))))</f>
        <v/>
      </c>
    </row>
    <row r="285">
      <c r="A285" s="32">
        <f>IF($B285="","",IFERROR(IMAGE($B285,4,60,60),""))</f>
        <v/>
      </c>
      <c r="T285" s="68" t="n"/>
      <c r="V285" s="32">
        <f>IF($M285="","",IF($M285=0,"Out of stock",IF(OR($P285="",$Q285=""),"No window",IF(YEAR(TODAY())&lt;$P285,"Too young",IF(YEAR(TODAY())&gt;$Q285,"Past peak",IF(YEAR(TODAY())=$Q285,"Drink now","Ready"))))))</f>
        <v/>
      </c>
    </row>
    <row r="286">
      <c r="A286" s="32">
        <f>IF($B286="","",IFERROR(IMAGE($B286,4,60,60),""))</f>
        <v/>
      </c>
      <c r="T286" s="68" t="n"/>
      <c r="V286" s="32">
        <f>IF($M286="","",IF($M286=0,"Out of stock",IF(OR($P286="",$Q286=""),"No window",IF(YEAR(TODAY())&lt;$P286,"Too young",IF(YEAR(TODAY())&gt;$Q286,"Past peak",IF(YEAR(TODAY())=$Q286,"Drink now","Ready"))))))</f>
        <v/>
      </c>
    </row>
    <row r="287">
      <c r="A287" s="32">
        <f>IF($B287="","",IFERROR(IMAGE($B287,4,60,60),""))</f>
        <v/>
      </c>
      <c r="T287" s="68" t="n"/>
      <c r="V287" s="32">
        <f>IF($M287="","",IF($M287=0,"Out of stock",IF(OR($P287="",$Q287=""),"No window",IF(YEAR(TODAY())&lt;$P287,"Too young",IF(YEAR(TODAY())&gt;$Q287,"Past peak",IF(YEAR(TODAY())=$Q287,"Drink now","Ready"))))))</f>
        <v/>
      </c>
    </row>
    <row r="288">
      <c r="A288" s="32">
        <f>IF($B288="","",IFERROR(IMAGE($B288,4,60,60),""))</f>
        <v/>
      </c>
      <c r="T288" s="68" t="n"/>
      <c r="V288" s="32">
        <f>IF($M288="","",IF($M288=0,"Out of stock",IF(OR($P288="",$Q288=""),"No window",IF(YEAR(TODAY())&lt;$P288,"Too young",IF(YEAR(TODAY())&gt;$Q288,"Past peak",IF(YEAR(TODAY())=$Q288,"Drink now","Ready"))))))</f>
        <v/>
      </c>
    </row>
    <row r="289">
      <c r="A289" s="32">
        <f>IF($B289="","",IFERROR(IMAGE($B289,4,60,60),""))</f>
        <v/>
      </c>
      <c r="T289" s="68" t="n"/>
      <c r="V289" s="32">
        <f>IF($M289="","",IF($M289=0,"Out of stock",IF(OR($P289="",$Q289=""),"No window",IF(YEAR(TODAY())&lt;$P289,"Too young",IF(YEAR(TODAY())&gt;$Q289,"Past peak",IF(YEAR(TODAY())=$Q289,"Drink now","Ready"))))))</f>
        <v/>
      </c>
    </row>
    <row r="290">
      <c r="A290" s="32">
        <f>IF($B290="","",IFERROR(IMAGE($B290,4,60,60),""))</f>
        <v/>
      </c>
      <c r="T290" s="68" t="n"/>
      <c r="V290" s="32">
        <f>IF($M290="","",IF($M290=0,"Out of stock",IF(OR($P290="",$Q290=""),"No window",IF(YEAR(TODAY())&lt;$P290,"Too young",IF(YEAR(TODAY())&gt;$Q290,"Past peak",IF(YEAR(TODAY())=$Q290,"Drink now","Ready"))))))</f>
        <v/>
      </c>
    </row>
    <row r="291">
      <c r="A291" s="32">
        <f>IF($B291="","",IFERROR(IMAGE($B291,4,60,60),""))</f>
        <v/>
      </c>
      <c r="T291" s="68" t="n"/>
      <c r="V291" s="32">
        <f>IF($M291="","",IF($M291=0,"Out of stock",IF(OR($P291="",$Q291=""),"No window",IF(YEAR(TODAY())&lt;$P291,"Too young",IF(YEAR(TODAY())&gt;$Q291,"Past peak",IF(YEAR(TODAY())=$Q291,"Drink now","Ready"))))))</f>
        <v/>
      </c>
    </row>
    <row r="292">
      <c r="A292" s="32">
        <f>IF($B292="","",IFERROR(IMAGE($B292,4,60,60),""))</f>
        <v/>
      </c>
      <c r="T292" s="68" t="n"/>
      <c r="V292" s="32">
        <f>IF($M292="","",IF($M292=0,"Out of stock",IF(OR($P292="",$Q292=""),"No window",IF(YEAR(TODAY())&lt;$P292,"Too young",IF(YEAR(TODAY())&gt;$Q292,"Past peak",IF(YEAR(TODAY())=$Q292,"Drink now","Ready"))))))</f>
        <v/>
      </c>
    </row>
    <row r="293">
      <c r="A293" s="32">
        <f>IF($B293="","",IFERROR(IMAGE($B293,4,60,60),""))</f>
        <v/>
      </c>
      <c r="T293" s="68" t="n"/>
      <c r="V293" s="32">
        <f>IF($M293="","",IF($M293=0,"Out of stock",IF(OR($P293="",$Q293=""),"No window",IF(YEAR(TODAY())&lt;$P293,"Too young",IF(YEAR(TODAY())&gt;$Q293,"Past peak",IF(YEAR(TODAY())=$Q293,"Drink now","Ready"))))))</f>
        <v/>
      </c>
    </row>
    <row r="294">
      <c r="A294" s="32">
        <f>IF($B294="","",IFERROR(IMAGE($B294,4,60,60),""))</f>
        <v/>
      </c>
      <c r="T294" s="68" t="n"/>
      <c r="V294" s="32">
        <f>IF($M294="","",IF($M294=0,"Out of stock",IF(OR($P294="",$Q294=""),"No window",IF(YEAR(TODAY())&lt;$P294,"Too young",IF(YEAR(TODAY())&gt;$Q294,"Past peak",IF(YEAR(TODAY())=$Q294,"Drink now","Ready"))))))</f>
        <v/>
      </c>
    </row>
    <row r="295">
      <c r="A295" s="32">
        <f>IF($B295="","",IFERROR(IMAGE($B295,4,60,60),""))</f>
        <v/>
      </c>
      <c r="T295" s="68" t="n"/>
      <c r="V295" s="32">
        <f>IF($M295="","",IF($M295=0,"Out of stock",IF(OR($P295="",$Q295=""),"No window",IF(YEAR(TODAY())&lt;$P295,"Too young",IF(YEAR(TODAY())&gt;$Q295,"Past peak",IF(YEAR(TODAY())=$Q295,"Drink now","Ready"))))))</f>
        <v/>
      </c>
    </row>
    <row r="296">
      <c r="A296" s="32">
        <f>IF($B296="","",IFERROR(IMAGE($B296,4,60,60),""))</f>
        <v/>
      </c>
      <c r="T296" s="68" t="n"/>
      <c r="V296" s="32">
        <f>IF($M296="","",IF($M296=0,"Out of stock",IF(OR($P296="",$Q296=""),"No window",IF(YEAR(TODAY())&lt;$P296,"Too young",IF(YEAR(TODAY())&gt;$Q296,"Past peak",IF(YEAR(TODAY())=$Q296,"Drink now","Ready"))))))</f>
        <v/>
      </c>
    </row>
    <row r="297">
      <c r="A297" s="32">
        <f>IF($B297="","",IFERROR(IMAGE($B297,4,60,60),""))</f>
        <v/>
      </c>
      <c r="T297" s="68" t="n"/>
      <c r="V297" s="32">
        <f>IF($M297="","",IF($M297=0,"Out of stock",IF(OR($P297="",$Q297=""),"No window",IF(YEAR(TODAY())&lt;$P297,"Too young",IF(YEAR(TODAY())&gt;$Q297,"Past peak",IF(YEAR(TODAY())=$Q297,"Drink now","Ready"))))))</f>
        <v/>
      </c>
    </row>
    <row r="298">
      <c r="A298" s="32">
        <f>IF($B298="","",IFERROR(IMAGE($B298,4,60,60),""))</f>
        <v/>
      </c>
      <c r="T298" s="68" t="n"/>
      <c r="V298" s="32">
        <f>IF($M298="","",IF($M298=0,"Out of stock",IF(OR($P298="",$Q298=""),"No window",IF(YEAR(TODAY())&lt;$P298,"Too young",IF(YEAR(TODAY())&gt;$Q298,"Past peak",IF(YEAR(TODAY())=$Q298,"Drink now","Ready"))))))</f>
        <v/>
      </c>
    </row>
    <row r="299">
      <c r="A299" s="32">
        <f>IF($B299="","",IFERROR(IMAGE($B299,4,60,60),""))</f>
        <v/>
      </c>
      <c r="T299" s="68" t="n"/>
      <c r="V299" s="32">
        <f>IF($M299="","",IF($M299=0,"Out of stock",IF(OR($P299="",$Q299=""),"No window",IF(YEAR(TODAY())&lt;$P299,"Too young",IF(YEAR(TODAY())&gt;$Q299,"Past peak",IF(YEAR(TODAY())=$Q299,"Drink now","Ready"))))))</f>
        <v/>
      </c>
    </row>
    <row r="300">
      <c r="A300" s="32">
        <f>IF($B300="","",IFERROR(IMAGE($B300,4,60,60),""))</f>
        <v/>
      </c>
      <c r="T300" s="68" t="n"/>
      <c r="V300" s="32">
        <f>IF($M300="","",IF($M300=0,"Out of stock",IF(OR($P300="",$Q300=""),"No window",IF(YEAR(TODAY())&lt;$P300,"Too young",IF(YEAR(TODAY())&gt;$Q300,"Past peak",IF(YEAR(TODAY())=$Q300,"Drink now","Ready"))))))</f>
        <v/>
      </c>
    </row>
    <row r="301">
      <c r="A301" s="32">
        <f>IF($B301="","",IFERROR(IMAGE($B301,4,60,60),""))</f>
        <v/>
      </c>
      <c r="T301" s="68" t="n"/>
      <c r="V301" s="32">
        <f>IF($M301="","",IF($M301=0,"Out of stock",IF(OR($P301="",$Q301=""),"No window",IF(YEAR(TODAY())&lt;$P301,"Too young",IF(YEAR(TODAY())&gt;$Q301,"Past peak",IF(YEAR(TODAY())=$Q301,"Drink now","Ready"))))))</f>
        <v/>
      </c>
    </row>
    <row r="302">
      <c r="A302" s="32">
        <f>IF($B302="","",IFERROR(IMAGE($B302,4,60,60),""))</f>
        <v/>
      </c>
      <c r="T302" s="68" t="n"/>
      <c r="V302" s="32">
        <f>IF($M302="","",IF($M302=0,"Out of stock",IF(OR($P302="",$Q302=""),"No window",IF(YEAR(TODAY())&lt;$P302,"Too young",IF(YEAR(TODAY())&gt;$Q302,"Past peak",IF(YEAR(TODAY())=$Q302,"Drink now","Ready"))))))</f>
        <v/>
      </c>
    </row>
    <row r="303">
      <c r="A303" s="32">
        <f>IF($B303="","",IFERROR(IMAGE($B303,4,60,60),""))</f>
        <v/>
      </c>
      <c r="T303" s="68" t="n"/>
      <c r="V303" s="32">
        <f>IF($M303="","",IF($M303=0,"Out of stock",IF(OR($P303="",$Q303=""),"No window",IF(YEAR(TODAY())&lt;$P303,"Too young",IF(YEAR(TODAY())&gt;$Q303,"Past peak",IF(YEAR(TODAY())=$Q303,"Drink now","Ready"))))))</f>
        <v/>
      </c>
    </row>
    <row r="304">
      <c r="A304" s="32">
        <f>IF($B304="","",IFERROR(IMAGE($B304,4,60,60),""))</f>
        <v/>
      </c>
      <c r="T304" s="68" t="n"/>
      <c r="V304" s="32">
        <f>IF($M304="","",IF($M304=0,"Out of stock",IF(OR($P304="",$Q304=""),"No window",IF(YEAR(TODAY())&lt;$P304,"Too young",IF(YEAR(TODAY())&gt;$Q304,"Past peak",IF(YEAR(TODAY())=$Q304,"Drink now","Ready"))))))</f>
        <v/>
      </c>
    </row>
    <row r="305">
      <c r="A305" s="32">
        <f>IF($B305="","",IFERROR(IMAGE($B305,4,60,60),""))</f>
        <v/>
      </c>
      <c r="T305" s="68" t="n"/>
      <c r="V305" s="32">
        <f>IF($M305="","",IF($M305=0,"Out of stock",IF(OR($P305="",$Q305=""),"No window",IF(YEAR(TODAY())&lt;$P305,"Too young",IF(YEAR(TODAY())&gt;$Q305,"Past peak",IF(YEAR(TODAY())=$Q305,"Drink now","Ready"))))))</f>
        <v/>
      </c>
    </row>
    <row r="306">
      <c r="A306" s="32">
        <f>IF($B306="","",IFERROR(IMAGE($B306,4,60,60),""))</f>
        <v/>
      </c>
      <c r="T306" s="68" t="n"/>
      <c r="V306" s="32">
        <f>IF($M306="","",IF($M306=0,"Out of stock",IF(OR($P306="",$Q306=""),"No window",IF(YEAR(TODAY())&lt;$P306,"Too young",IF(YEAR(TODAY())&gt;$Q306,"Past peak",IF(YEAR(TODAY())=$Q306,"Drink now","Ready"))))))</f>
        <v/>
      </c>
    </row>
    <row r="307">
      <c r="A307" s="32">
        <f>IF($B307="","",IFERROR(IMAGE($B307,4,60,60),""))</f>
        <v/>
      </c>
      <c r="T307" s="68" t="n"/>
      <c r="V307" s="32">
        <f>IF($M307="","",IF($M307=0,"Out of stock",IF(OR($P307="",$Q307=""),"No window",IF(YEAR(TODAY())&lt;$P307,"Too young",IF(YEAR(TODAY())&gt;$Q307,"Past peak",IF(YEAR(TODAY())=$Q307,"Drink now","Ready"))))))</f>
        <v/>
      </c>
    </row>
    <row r="308">
      <c r="A308" s="32">
        <f>IF($B308="","",IFERROR(IMAGE($B308,4,60,60),""))</f>
        <v/>
      </c>
      <c r="T308" s="68" t="n"/>
      <c r="V308" s="32">
        <f>IF($M308="","",IF($M308=0,"Out of stock",IF(OR($P308="",$Q308=""),"No window",IF(YEAR(TODAY())&lt;$P308,"Too young",IF(YEAR(TODAY())&gt;$Q308,"Past peak",IF(YEAR(TODAY())=$Q308,"Drink now","Ready"))))))</f>
        <v/>
      </c>
    </row>
    <row r="309">
      <c r="A309" s="32">
        <f>IF($B309="","",IFERROR(IMAGE($B309,4,60,60),""))</f>
        <v/>
      </c>
      <c r="T309" s="68" t="n"/>
      <c r="V309" s="32">
        <f>IF($M309="","",IF($M309=0,"Out of stock",IF(OR($P309="",$Q309=""),"No window",IF(YEAR(TODAY())&lt;$P309,"Too young",IF(YEAR(TODAY())&gt;$Q309,"Past peak",IF(YEAR(TODAY())=$Q309,"Drink now","Ready"))))))</f>
        <v/>
      </c>
    </row>
    <row r="310">
      <c r="A310" s="32">
        <f>IF($B310="","",IFERROR(IMAGE($B310,4,60,60),""))</f>
        <v/>
      </c>
      <c r="T310" s="68" t="n"/>
      <c r="V310" s="32">
        <f>IF($M310="","",IF($M310=0,"Out of stock",IF(OR($P310="",$Q310=""),"No window",IF(YEAR(TODAY())&lt;$P310,"Too young",IF(YEAR(TODAY())&gt;$Q310,"Past peak",IF(YEAR(TODAY())=$Q310,"Drink now","Ready"))))))</f>
        <v/>
      </c>
    </row>
    <row r="311">
      <c r="A311" s="32">
        <f>IF($B311="","",IFERROR(IMAGE($B311,4,60,60),""))</f>
        <v/>
      </c>
      <c r="T311" s="68" t="n"/>
      <c r="V311" s="32">
        <f>IF($M311="","",IF($M311=0,"Out of stock",IF(OR($P311="",$Q311=""),"No window",IF(YEAR(TODAY())&lt;$P311,"Too young",IF(YEAR(TODAY())&gt;$Q311,"Past peak",IF(YEAR(TODAY())=$Q311,"Drink now","Ready"))))))</f>
        <v/>
      </c>
    </row>
    <row r="312">
      <c r="A312" s="32">
        <f>IF($B312="","",IFERROR(IMAGE($B312,4,60,60),""))</f>
        <v/>
      </c>
      <c r="T312" s="68" t="n"/>
      <c r="V312" s="32">
        <f>IF($M312="","",IF($M312=0,"Out of stock",IF(OR($P312="",$Q312=""),"No window",IF(YEAR(TODAY())&lt;$P312,"Too young",IF(YEAR(TODAY())&gt;$Q312,"Past peak",IF(YEAR(TODAY())=$Q312,"Drink now","Ready"))))))</f>
        <v/>
      </c>
    </row>
    <row r="313">
      <c r="A313" s="32">
        <f>IF($B313="","",IFERROR(IMAGE($B313,4,60,60),""))</f>
        <v/>
      </c>
      <c r="T313" s="68" t="n"/>
      <c r="V313" s="32">
        <f>IF($M313="","",IF($M313=0,"Out of stock",IF(OR($P313="",$Q313=""),"No window",IF(YEAR(TODAY())&lt;$P313,"Too young",IF(YEAR(TODAY())&gt;$Q313,"Past peak",IF(YEAR(TODAY())=$Q313,"Drink now","Ready"))))))</f>
        <v/>
      </c>
    </row>
    <row r="314">
      <c r="A314" s="32">
        <f>IF($B314="","",IFERROR(IMAGE($B314,4,60,60),""))</f>
        <v/>
      </c>
      <c r="T314" s="68" t="n"/>
      <c r="V314" s="32">
        <f>IF($M314="","",IF($M314=0,"Out of stock",IF(OR($P314="",$Q314=""),"No window",IF(YEAR(TODAY())&lt;$P314,"Too young",IF(YEAR(TODAY())&gt;$Q314,"Past peak",IF(YEAR(TODAY())=$Q314,"Drink now","Ready"))))))</f>
        <v/>
      </c>
    </row>
    <row r="315">
      <c r="A315" s="32">
        <f>IF($B315="","",IFERROR(IMAGE($B315,4,60,60),""))</f>
        <v/>
      </c>
      <c r="T315" s="68" t="n"/>
      <c r="V315" s="32">
        <f>IF($M315="","",IF($M315=0,"Out of stock",IF(OR($P315="",$Q315=""),"No window",IF(YEAR(TODAY())&lt;$P315,"Too young",IF(YEAR(TODAY())&gt;$Q315,"Past peak",IF(YEAR(TODAY())=$Q315,"Drink now","Ready"))))))</f>
        <v/>
      </c>
    </row>
    <row r="316">
      <c r="A316" s="32">
        <f>IF($B316="","",IFERROR(IMAGE($B316,4,60,60),""))</f>
        <v/>
      </c>
      <c r="T316" s="68" t="n"/>
      <c r="V316" s="32">
        <f>IF($M316="","",IF($M316=0,"Out of stock",IF(OR($P316="",$Q316=""),"No window",IF(YEAR(TODAY())&lt;$P316,"Too young",IF(YEAR(TODAY())&gt;$Q316,"Past peak",IF(YEAR(TODAY())=$Q316,"Drink now","Ready"))))))</f>
        <v/>
      </c>
    </row>
    <row r="317">
      <c r="A317" s="32">
        <f>IF($B317="","",IFERROR(IMAGE($B317,4,60,60),""))</f>
        <v/>
      </c>
      <c r="T317" s="68" t="n"/>
      <c r="V317" s="32">
        <f>IF($M317="","",IF($M317=0,"Out of stock",IF(OR($P317="",$Q317=""),"No window",IF(YEAR(TODAY())&lt;$P317,"Too young",IF(YEAR(TODAY())&gt;$Q317,"Past peak",IF(YEAR(TODAY())=$Q317,"Drink now","Ready"))))))</f>
        <v/>
      </c>
    </row>
    <row r="318">
      <c r="A318" s="32">
        <f>IF($B318="","",IFERROR(IMAGE($B318,4,60,60),""))</f>
        <v/>
      </c>
      <c r="T318" s="68" t="n"/>
      <c r="V318" s="32">
        <f>IF($M318="","",IF($M318=0,"Out of stock",IF(OR($P318="",$Q318=""),"No window",IF(YEAR(TODAY())&lt;$P318,"Too young",IF(YEAR(TODAY())&gt;$Q318,"Past peak",IF(YEAR(TODAY())=$Q318,"Drink now","Ready"))))))</f>
        <v/>
      </c>
    </row>
    <row r="319">
      <c r="A319" s="32">
        <f>IF($B319="","",IFERROR(IMAGE($B319,4,60,60),""))</f>
        <v/>
      </c>
      <c r="T319" s="68" t="n"/>
      <c r="V319" s="32">
        <f>IF($M319="","",IF($M319=0,"Out of stock",IF(OR($P319="",$Q319=""),"No window",IF(YEAR(TODAY())&lt;$P319,"Too young",IF(YEAR(TODAY())&gt;$Q319,"Past peak",IF(YEAR(TODAY())=$Q319,"Drink now","Ready"))))))</f>
        <v/>
      </c>
    </row>
    <row r="320">
      <c r="A320" s="32">
        <f>IF($B320="","",IFERROR(IMAGE($B320,4,60,60),""))</f>
        <v/>
      </c>
      <c r="T320" s="68" t="n"/>
      <c r="V320" s="32">
        <f>IF($M320="","",IF($M320=0,"Out of stock",IF(OR($P320="",$Q320=""),"No window",IF(YEAR(TODAY())&lt;$P320,"Too young",IF(YEAR(TODAY())&gt;$Q320,"Past peak",IF(YEAR(TODAY())=$Q320,"Drink now","Ready"))))))</f>
        <v/>
      </c>
    </row>
    <row r="321">
      <c r="A321" s="32">
        <f>IF($B321="","",IFERROR(IMAGE($B321,4,60,60),""))</f>
        <v/>
      </c>
      <c r="T321" s="68" t="n"/>
      <c r="V321" s="32">
        <f>IF($M321="","",IF($M321=0,"Out of stock",IF(OR($P321="",$Q321=""),"No window",IF(YEAR(TODAY())&lt;$P321,"Too young",IF(YEAR(TODAY())&gt;$Q321,"Past peak",IF(YEAR(TODAY())=$Q321,"Drink now","Ready"))))))</f>
        <v/>
      </c>
    </row>
    <row r="322">
      <c r="A322" s="32">
        <f>IF($B322="","",IFERROR(IMAGE($B322,4,60,60),""))</f>
        <v/>
      </c>
      <c r="T322" s="68" t="n"/>
      <c r="V322" s="32">
        <f>IF($M322="","",IF($M322=0,"Out of stock",IF(OR($P322="",$Q322=""),"No window",IF(YEAR(TODAY())&lt;$P322,"Too young",IF(YEAR(TODAY())&gt;$Q322,"Past peak",IF(YEAR(TODAY())=$Q322,"Drink now","Ready"))))))</f>
        <v/>
      </c>
    </row>
    <row r="323">
      <c r="A323" s="32">
        <f>IF($B323="","",IFERROR(IMAGE($B323,4,60,60),""))</f>
        <v/>
      </c>
      <c r="T323" s="68" t="n"/>
      <c r="V323" s="32">
        <f>IF($M323="","",IF($M323=0,"Out of stock",IF(OR($P323="",$Q323=""),"No window",IF(YEAR(TODAY())&lt;$P323,"Too young",IF(YEAR(TODAY())&gt;$Q323,"Past peak",IF(YEAR(TODAY())=$Q323,"Drink now","Ready"))))))</f>
        <v/>
      </c>
    </row>
    <row r="324">
      <c r="A324" s="32">
        <f>IF($B324="","",IFERROR(IMAGE($B324,4,60,60),""))</f>
        <v/>
      </c>
      <c r="T324" s="68" t="n"/>
      <c r="V324" s="32">
        <f>IF($M324="","",IF($M324=0,"Out of stock",IF(OR($P324="",$Q324=""),"No window",IF(YEAR(TODAY())&lt;$P324,"Too young",IF(YEAR(TODAY())&gt;$Q324,"Past peak",IF(YEAR(TODAY())=$Q324,"Drink now","Ready"))))))</f>
        <v/>
      </c>
    </row>
    <row r="325">
      <c r="A325" s="32">
        <f>IF($B325="","",IFERROR(IMAGE($B325,4,60,60),""))</f>
        <v/>
      </c>
      <c r="T325" s="68" t="n"/>
      <c r="V325" s="32">
        <f>IF($M325="","",IF($M325=0,"Out of stock",IF(OR($P325="",$Q325=""),"No window",IF(YEAR(TODAY())&lt;$P325,"Too young",IF(YEAR(TODAY())&gt;$Q325,"Past peak",IF(YEAR(TODAY())=$Q325,"Drink now","Ready"))))))</f>
        <v/>
      </c>
    </row>
    <row r="326">
      <c r="A326" s="32">
        <f>IF($B326="","",IFERROR(IMAGE($B326,4,60,60),""))</f>
        <v/>
      </c>
      <c r="T326" s="68" t="n"/>
      <c r="V326" s="32">
        <f>IF($M326="","",IF($M326=0,"Out of stock",IF(OR($P326="",$Q326=""),"No window",IF(YEAR(TODAY())&lt;$P326,"Too young",IF(YEAR(TODAY())&gt;$Q326,"Past peak",IF(YEAR(TODAY())=$Q326,"Drink now","Ready"))))))</f>
        <v/>
      </c>
    </row>
    <row r="327">
      <c r="A327" s="32">
        <f>IF($B327="","",IFERROR(IMAGE($B327,4,60,60),""))</f>
        <v/>
      </c>
      <c r="T327" s="68" t="n"/>
      <c r="V327" s="32">
        <f>IF($M327="","",IF($M327=0,"Out of stock",IF(OR($P327="",$Q327=""),"No window",IF(YEAR(TODAY())&lt;$P327,"Too young",IF(YEAR(TODAY())&gt;$Q327,"Past peak",IF(YEAR(TODAY())=$Q327,"Drink now","Ready"))))))</f>
        <v/>
      </c>
    </row>
    <row r="328">
      <c r="A328" s="32">
        <f>IF($B328="","",IFERROR(IMAGE($B328,4,60,60),""))</f>
        <v/>
      </c>
      <c r="T328" s="68" t="n"/>
      <c r="V328" s="32">
        <f>IF($M328="","",IF($M328=0,"Out of stock",IF(OR($P328="",$Q328=""),"No window",IF(YEAR(TODAY())&lt;$P328,"Too young",IF(YEAR(TODAY())&gt;$Q328,"Past peak",IF(YEAR(TODAY())=$Q328,"Drink now","Ready"))))))</f>
        <v/>
      </c>
    </row>
    <row r="329">
      <c r="A329" s="32">
        <f>IF($B329="","",IFERROR(IMAGE($B329,4,60,60),""))</f>
        <v/>
      </c>
      <c r="T329" s="68" t="n"/>
      <c r="V329" s="32">
        <f>IF($M329="","",IF($M329=0,"Out of stock",IF(OR($P329="",$Q329=""),"No window",IF(YEAR(TODAY())&lt;$P329,"Too young",IF(YEAR(TODAY())&gt;$Q329,"Past peak",IF(YEAR(TODAY())=$Q329,"Drink now","Ready"))))))</f>
        <v/>
      </c>
    </row>
    <row r="330">
      <c r="A330" s="32">
        <f>IF($B330="","",IFERROR(IMAGE($B330,4,60,60),""))</f>
        <v/>
      </c>
      <c r="T330" s="68" t="n"/>
      <c r="V330" s="32">
        <f>IF($M330="","",IF($M330=0,"Out of stock",IF(OR($P330="",$Q330=""),"No window",IF(YEAR(TODAY())&lt;$P330,"Too young",IF(YEAR(TODAY())&gt;$Q330,"Past peak",IF(YEAR(TODAY())=$Q330,"Drink now","Ready"))))))</f>
        <v/>
      </c>
    </row>
    <row r="331">
      <c r="A331" s="32">
        <f>IF($B331="","",IFERROR(IMAGE($B331,4,60,60),""))</f>
        <v/>
      </c>
      <c r="T331" s="68" t="n"/>
      <c r="V331" s="32">
        <f>IF($M331="","",IF($M331=0,"Out of stock",IF(OR($P331="",$Q331=""),"No window",IF(YEAR(TODAY())&lt;$P331,"Too young",IF(YEAR(TODAY())&gt;$Q331,"Past peak",IF(YEAR(TODAY())=$Q331,"Drink now","Ready"))))))</f>
        <v/>
      </c>
    </row>
    <row r="332">
      <c r="A332" s="32">
        <f>IF($B332="","",IFERROR(IMAGE($B332,4,60,60),""))</f>
        <v/>
      </c>
      <c r="T332" s="68" t="n"/>
      <c r="V332" s="32">
        <f>IF($M332="","",IF($M332=0,"Out of stock",IF(OR($P332="",$Q332=""),"No window",IF(YEAR(TODAY())&lt;$P332,"Too young",IF(YEAR(TODAY())&gt;$Q332,"Past peak",IF(YEAR(TODAY())=$Q332,"Drink now","Ready"))))))</f>
        <v/>
      </c>
    </row>
    <row r="333">
      <c r="A333" s="32">
        <f>IF($B333="","",IFERROR(IMAGE($B333,4,60,60),""))</f>
        <v/>
      </c>
      <c r="T333" s="68" t="n"/>
      <c r="V333" s="32">
        <f>IF($M333="","",IF($M333=0,"Out of stock",IF(OR($P333="",$Q333=""),"No window",IF(YEAR(TODAY())&lt;$P333,"Too young",IF(YEAR(TODAY())&gt;$Q333,"Past peak",IF(YEAR(TODAY())=$Q333,"Drink now","Ready"))))))</f>
        <v/>
      </c>
    </row>
    <row r="334">
      <c r="A334" s="32">
        <f>IF($B334="","",IFERROR(IMAGE($B334,4,60,60),""))</f>
        <v/>
      </c>
      <c r="T334" s="68" t="n"/>
      <c r="V334" s="32">
        <f>IF($M334="","",IF($M334=0,"Out of stock",IF(OR($P334="",$Q334=""),"No window",IF(YEAR(TODAY())&lt;$P334,"Too young",IF(YEAR(TODAY())&gt;$Q334,"Past peak",IF(YEAR(TODAY())=$Q334,"Drink now","Ready"))))))</f>
        <v/>
      </c>
    </row>
    <row r="335">
      <c r="A335" s="32">
        <f>IF($B335="","",IFERROR(IMAGE($B335,4,60,60),""))</f>
        <v/>
      </c>
      <c r="T335" s="68" t="n"/>
      <c r="V335" s="32">
        <f>IF($M335="","",IF($M335=0,"Out of stock",IF(OR($P335="",$Q335=""),"No window",IF(YEAR(TODAY())&lt;$P335,"Too young",IF(YEAR(TODAY())&gt;$Q335,"Past peak",IF(YEAR(TODAY())=$Q335,"Drink now","Ready"))))))</f>
        <v/>
      </c>
    </row>
    <row r="336">
      <c r="A336" s="32">
        <f>IF($B336="","",IFERROR(IMAGE($B336,4,60,60),""))</f>
        <v/>
      </c>
      <c r="T336" s="68" t="n"/>
      <c r="V336" s="32">
        <f>IF($M336="","",IF($M336=0,"Out of stock",IF(OR($P336="",$Q336=""),"No window",IF(YEAR(TODAY())&lt;$P336,"Too young",IF(YEAR(TODAY())&gt;$Q336,"Past peak",IF(YEAR(TODAY())=$Q336,"Drink now","Ready"))))))</f>
        <v/>
      </c>
    </row>
    <row r="337">
      <c r="A337" s="32">
        <f>IF($B337="","",IFERROR(IMAGE($B337,4,60,60),""))</f>
        <v/>
      </c>
      <c r="T337" s="68" t="n"/>
      <c r="V337" s="32">
        <f>IF($M337="","",IF($M337=0,"Out of stock",IF(OR($P337="",$Q337=""),"No window",IF(YEAR(TODAY())&lt;$P337,"Too young",IF(YEAR(TODAY())&gt;$Q337,"Past peak",IF(YEAR(TODAY())=$Q337,"Drink now","Ready"))))))</f>
        <v/>
      </c>
    </row>
    <row r="338">
      <c r="A338" s="32">
        <f>IF($B338="","",IFERROR(IMAGE($B338,4,60,60),""))</f>
        <v/>
      </c>
      <c r="T338" s="68" t="n"/>
      <c r="V338" s="32">
        <f>IF($M338="","",IF($M338=0,"Out of stock",IF(OR($P338="",$Q338=""),"No window",IF(YEAR(TODAY())&lt;$P338,"Too young",IF(YEAR(TODAY())&gt;$Q338,"Past peak",IF(YEAR(TODAY())=$Q338,"Drink now","Ready"))))))</f>
        <v/>
      </c>
    </row>
    <row r="339">
      <c r="A339" s="32">
        <f>IF($B339="","",IFERROR(IMAGE($B339,4,60,60),""))</f>
        <v/>
      </c>
      <c r="T339" s="68" t="n"/>
      <c r="V339" s="32">
        <f>IF($M339="","",IF($M339=0,"Out of stock",IF(OR($P339="",$Q339=""),"No window",IF(YEAR(TODAY())&lt;$P339,"Too young",IF(YEAR(TODAY())&gt;$Q339,"Past peak",IF(YEAR(TODAY())=$Q339,"Drink now","Ready"))))))</f>
        <v/>
      </c>
    </row>
    <row r="340">
      <c r="A340" s="32">
        <f>IF($B340="","",IFERROR(IMAGE($B340,4,60,60),""))</f>
        <v/>
      </c>
      <c r="T340" s="68" t="n"/>
      <c r="V340" s="32">
        <f>IF($M340="","",IF($M340=0,"Out of stock",IF(OR($P340="",$Q340=""),"No window",IF(YEAR(TODAY())&lt;$P340,"Too young",IF(YEAR(TODAY())&gt;$Q340,"Past peak",IF(YEAR(TODAY())=$Q340,"Drink now","Ready"))))))</f>
        <v/>
      </c>
    </row>
    <row r="341">
      <c r="A341" s="32">
        <f>IF($B341="","",IFERROR(IMAGE($B341,4,60,60),""))</f>
        <v/>
      </c>
      <c r="T341" s="68" t="n"/>
      <c r="V341" s="32">
        <f>IF($M341="","",IF($M341=0,"Out of stock",IF(OR($P341="",$Q341=""),"No window",IF(YEAR(TODAY())&lt;$P341,"Too young",IF(YEAR(TODAY())&gt;$Q341,"Past peak",IF(YEAR(TODAY())=$Q341,"Drink now","Ready"))))))</f>
        <v/>
      </c>
    </row>
    <row r="342">
      <c r="A342" s="32">
        <f>IF($B342="","",IFERROR(IMAGE($B342,4,60,60),""))</f>
        <v/>
      </c>
      <c r="T342" s="68" t="n"/>
      <c r="V342" s="32">
        <f>IF($M342="","",IF($M342=0,"Out of stock",IF(OR($P342="",$Q342=""),"No window",IF(YEAR(TODAY())&lt;$P342,"Too young",IF(YEAR(TODAY())&gt;$Q342,"Past peak",IF(YEAR(TODAY())=$Q342,"Drink now","Ready"))))))</f>
        <v/>
      </c>
    </row>
    <row r="343">
      <c r="A343" s="32">
        <f>IF($B343="","",IFERROR(IMAGE($B343,4,60,60),""))</f>
        <v/>
      </c>
      <c r="T343" s="68" t="n"/>
      <c r="V343" s="32">
        <f>IF($M343="","",IF($M343=0,"Out of stock",IF(OR($P343="",$Q343=""),"No window",IF(YEAR(TODAY())&lt;$P343,"Too young",IF(YEAR(TODAY())&gt;$Q343,"Past peak",IF(YEAR(TODAY())=$Q343,"Drink now","Ready"))))))</f>
        <v/>
      </c>
    </row>
    <row r="344">
      <c r="A344" s="32">
        <f>IF($B344="","",IFERROR(IMAGE($B344,4,60,60),""))</f>
        <v/>
      </c>
      <c r="T344" s="68" t="n"/>
      <c r="V344" s="32">
        <f>IF($M344="","",IF($M344=0,"Out of stock",IF(OR($P344="",$Q344=""),"No window",IF(YEAR(TODAY())&lt;$P344,"Too young",IF(YEAR(TODAY())&gt;$Q344,"Past peak",IF(YEAR(TODAY())=$Q344,"Drink now","Ready"))))))</f>
        <v/>
      </c>
    </row>
    <row r="345">
      <c r="A345" s="32">
        <f>IF($B345="","",IFERROR(IMAGE($B345,4,60,60),""))</f>
        <v/>
      </c>
      <c r="T345" s="68" t="n"/>
      <c r="V345" s="32">
        <f>IF($M345="","",IF($M345=0,"Out of stock",IF(OR($P345="",$Q345=""),"No window",IF(YEAR(TODAY())&lt;$P345,"Too young",IF(YEAR(TODAY())&gt;$Q345,"Past peak",IF(YEAR(TODAY())=$Q345,"Drink now","Ready"))))))</f>
        <v/>
      </c>
    </row>
    <row r="346">
      <c r="A346" s="32">
        <f>IF($B346="","",IFERROR(IMAGE($B346,4,60,60),""))</f>
        <v/>
      </c>
      <c r="T346" s="68" t="n"/>
      <c r="V346" s="32">
        <f>IF($M346="","",IF($M346=0,"Out of stock",IF(OR($P346="",$Q346=""),"No window",IF(YEAR(TODAY())&lt;$P346,"Too young",IF(YEAR(TODAY())&gt;$Q346,"Past peak",IF(YEAR(TODAY())=$Q346,"Drink now","Ready"))))))</f>
        <v/>
      </c>
    </row>
    <row r="347">
      <c r="A347" s="32">
        <f>IF($B347="","",IFERROR(IMAGE($B347,4,60,60),""))</f>
        <v/>
      </c>
      <c r="T347" s="68" t="n"/>
      <c r="V347" s="32">
        <f>IF($M347="","",IF($M347=0,"Out of stock",IF(OR($P347="",$Q347=""),"No window",IF(YEAR(TODAY())&lt;$P347,"Too young",IF(YEAR(TODAY())&gt;$Q347,"Past peak",IF(YEAR(TODAY())=$Q347,"Drink now","Ready"))))))</f>
        <v/>
      </c>
    </row>
    <row r="348">
      <c r="A348" s="32">
        <f>IF($B348="","",IFERROR(IMAGE($B348,4,60,60),""))</f>
        <v/>
      </c>
      <c r="T348" s="68" t="n"/>
      <c r="V348" s="32">
        <f>IF($M348="","",IF($M348=0,"Out of stock",IF(OR($P348="",$Q348=""),"No window",IF(YEAR(TODAY())&lt;$P348,"Too young",IF(YEAR(TODAY())&gt;$Q348,"Past peak",IF(YEAR(TODAY())=$Q348,"Drink now","Ready"))))))</f>
        <v/>
      </c>
    </row>
    <row r="349">
      <c r="A349" s="32">
        <f>IF($B349="","",IFERROR(IMAGE($B349,4,60,60),""))</f>
        <v/>
      </c>
      <c r="T349" s="68" t="n"/>
      <c r="V349" s="32">
        <f>IF($M349="","",IF($M349=0,"Out of stock",IF(OR($P349="",$Q349=""),"No window",IF(YEAR(TODAY())&lt;$P349,"Too young",IF(YEAR(TODAY())&gt;$Q349,"Past peak",IF(YEAR(TODAY())=$Q349,"Drink now","Ready"))))))</f>
        <v/>
      </c>
    </row>
    <row r="350">
      <c r="A350" s="32">
        <f>IF($B350="","",IFERROR(IMAGE($B350,4,60,60),""))</f>
        <v/>
      </c>
      <c r="T350" s="68" t="n"/>
      <c r="V350" s="32">
        <f>IF($M350="","",IF($M350=0,"Out of stock",IF(OR($P350="",$Q350=""),"No window",IF(YEAR(TODAY())&lt;$P350,"Too young",IF(YEAR(TODAY())&gt;$Q350,"Past peak",IF(YEAR(TODAY())=$Q350,"Drink now","Ready"))))))</f>
        <v/>
      </c>
    </row>
    <row r="351">
      <c r="A351" s="32">
        <f>IF($B351="","",IFERROR(IMAGE($B351,4,60,60),""))</f>
        <v/>
      </c>
      <c r="T351" s="68" t="n"/>
      <c r="V351" s="32">
        <f>IF($M351="","",IF($M351=0,"Out of stock",IF(OR($P351="",$Q351=""),"No window",IF(YEAR(TODAY())&lt;$P351,"Too young",IF(YEAR(TODAY())&gt;$Q351,"Past peak",IF(YEAR(TODAY())=$Q351,"Drink now","Ready"))))))</f>
        <v/>
      </c>
    </row>
    <row r="352">
      <c r="A352" s="32">
        <f>IF($B352="","",IFERROR(IMAGE($B352,4,60,60),""))</f>
        <v/>
      </c>
      <c r="T352" s="68" t="n"/>
      <c r="V352" s="32">
        <f>IF($M352="","",IF($M352=0,"Out of stock",IF(OR($P352="",$Q352=""),"No window",IF(YEAR(TODAY())&lt;$P352,"Too young",IF(YEAR(TODAY())&gt;$Q352,"Past peak",IF(YEAR(TODAY())=$Q352,"Drink now","Ready"))))))</f>
        <v/>
      </c>
    </row>
    <row r="353">
      <c r="A353" s="32">
        <f>IF($B353="","",IFERROR(IMAGE($B353,4,60,60),""))</f>
        <v/>
      </c>
      <c r="T353" s="68" t="n"/>
      <c r="V353" s="32">
        <f>IF($M353="","",IF($M353=0,"Out of stock",IF(OR($P353="",$Q353=""),"No window",IF(YEAR(TODAY())&lt;$P353,"Too young",IF(YEAR(TODAY())&gt;$Q353,"Past peak",IF(YEAR(TODAY())=$Q353,"Drink now","Ready"))))))</f>
        <v/>
      </c>
    </row>
    <row r="354">
      <c r="A354" s="32">
        <f>IF($B354="","",IFERROR(IMAGE($B354,4,60,60),""))</f>
        <v/>
      </c>
      <c r="T354" s="68" t="n"/>
      <c r="V354" s="32">
        <f>IF($M354="","",IF($M354=0,"Out of stock",IF(OR($P354="",$Q354=""),"No window",IF(YEAR(TODAY())&lt;$P354,"Too young",IF(YEAR(TODAY())&gt;$Q354,"Past peak",IF(YEAR(TODAY())=$Q354,"Drink now","Ready"))))))</f>
        <v/>
      </c>
    </row>
    <row r="355">
      <c r="A355" s="32">
        <f>IF($B355="","",IFERROR(IMAGE($B355,4,60,60),""))</f>
        <v/>
      </c>
      <c r="T355" s="68" t="n"/>
      <c r="V355" s="32">
        <f>IF($M355="","",IF($M355=0,"Out of stock",IF(OR($P355="",$Q355=""),"No window",IF(YEAR(TODAY())&lt;$P355,"Too young",IF(YEAR(TODAY())&gt;$Q355,"Past peak",IF(YEAR(TODAY())=$Q355,"Drink now","Ready"))))))</f>
        <v/>
      </c>
    </row>
    <row r="356">
      <c r="A356" s="32">
        <f>IF($B356="","",IFERROR(IMAGE($B356,4,60,60),""))</f>
        <v/>
      </c>
      <c r="T356" s="68" t="n"/>
      <c r="V356" s="32">
        <f>IF($M356="","",IF($M356=0,"Out of stock",IF(OR($P356="",$Q356=""),"No window",IF(YEAR(TODAY())&lt;$P356,"Too young",IF(YEAR(TODAY())&gt;$Q356,"Past peak",IF(YEAR(TODAY())=$Q356,"Drink now","Ready"))))))</f>
        <v/>
      </c>
    </row>
    <row r="357">
      <c r="A357" s="32">
        <f>IF($B357="","",IFERROR(IMAGE($B357,4,60,60),""))</f>
        <v/>
      </c>
      <c r="T357" s="68" t="n"/>
      <c r="V357" s="32">
        <f>IF($M357="","",IF($M357=0,"Out of stock",IF(OR($P357="",$Q357=""),"No window",IF(YEAR(TODAY())&lt;$P357,"Too young",IF(YEAR(TODAY())&gt;$Q357,"Past peak",IF(YEAR(TODAY())=$Q357,"Drink now","Ready"))))))</f>
        <v/>
      </c>
    </row>
    <row r="358">
      <c r="A358" s="32">
        <f>IF($B358="","",IFERROR(IMAGE($B358,4,60,60),""))</f>
        <v/>
      </c>
      <c r="T358" s="68" t="n"/>
      <c r="V358" s="32">
        <f>IF($M358="","",IF($M358=0,"Out of stock",IF(OR($P358="",$Q358=""),"No window",IF(YEAR(TODAY())&lt;$P358,"Too young",IF(YEAR(TODAY())&gt;$Q358,"Past peak",IF(YEAR(TODAY())=$Q358,"Drink now","Ready"))))))</f>
        <v/>
      </c>
    </row>
    <row r="359">
      <c r="A359" s="32">
        <f>IF($B359="","",IFERROR(IMAGE($B359,4,60,60),""))</f>
        <v/>
      </c>
      <c r="T359" s="68" t="n"/>
      <c r="V359" s="32">
        <f>IF($M359="","",IF($M359=0,"Out of stock",IF(OR($P359="",$Q359=""),"No window",IF(YEAR(TODAY())&lt;$P359,"Too young",IF(YEAR(TODAY())&gt;$Q359,"Past peak",IF(YEAR(TODAY())=$Q359,"Drink now","Ready"))))))</f>
        <v/>
      </c>
    </row>
    <row r="360">
      <c r="A360" s="32">
        <f>IF($B360="","",IFERROR(IMAGE($B360,4,60,60),""))</f>
        <v/>
      </c>
      <c r="T360" s="68" t="n"/>
      <c r="V360" s="32">
        <f>IF($M360="","",IF($M360=0,"Out of stock",IF(OR($P360="",$Q360=""),"No window",IF(YEAR(TODAY())&lt;$P360,"Too young",IF(YEAR(TODAY())&gt;$Q360,"Past peak",IF(YEAR(TODAY())=$Q360,"Drink now","Ready"))))))</f>
        <v/>
      </c>
    </row>
    <row r="361">
      <c r="A361" s="32">
        <f>IF($B361="","",IFERROR(IMAGE($B361,4,60,60),""))</f>
        <v/>
      </c>
      <c r="T361" s="68" t="n"/>
      <c r="V361" s="32">
        <f>IF($M361="","",IF($M361=0,"Out of stock",IF(OR($P361="",$Q361=""),"No window",IF(YEAR(TODAY())&lt;$P361,"Too young",IF(YEAR(TODAY())&gt;$Q361,"Past peak",IF(YEAR(TODAY())=$Q361,"Drink now","Ready"))))))</f>
        <v/>
      </c>
    </row>
    <row r="362">
      <c r="A362" s="32">
        <f>IF($B362="","",IFERROR(IMAGE($B362,4,60,60),""))</f>
        <v/>
      </c>
      <c r="T362" s="68" t="n"/>
      <c r="V362" s="32">
        <f>IF($M362="","",IF($M362=0,"Out of stock",IF(OR($P362="",$Q362=""),"No window",IF(YEAR(TODAY())&lt;$P362,"Too young",IF(YEAR(TODAY())&gt;$Q362,"Past peak",IF(YEAR(TODAY())=$Q362,"Drink now","Ready"))))))</f>
        <v/>
      </c>
    </row>
    <row r="363">
      <c r="A363" s="32">
        <f>IF($B363="","",IFERROR(IMAGE($B363,4,60,60),""))</f>
        <v/>
      </c>
      <c r="T363" s="68" t="n"/>
      <c r="V363" s="32">
        <f>IF($M363="","",IF($M363=0,"Out of stock",IF(OR($P363="",$Q363=""),"No window",IF(YEAR(TODAY())&lt;$P363,"Too young",IF(YEAR(TODAY())&gt;$Q363,"Past peak",IF(YEAR(TODAY())=$Q363,"Drink now","Ready"))))))</f>
        <v/>
      </c>
    </row>
    <row r="364">
      <c r="A364" s="32">
        <f>IF($B364="","",IFERROR(IMAGE($B364,4,60,60),""))</f>
        <v/>
      </c>
      <c r="T364" s="68" t="n"/>
      <c r="V364" s="32">
        <f>IF($M364="","",IF($M364=0,"Out of stock",IF(OR($P364="",$Q364=""),"No window",IF(YEAR(TODAY())&lt;$P364,"Too young",IF(YEAR(TODAY())&gt;$Q364,"Past peak",IF(YEAR(TODAY())=$Q364,"Drink now","Ready"))))))</f>
        <v/>
      </c>
    </row>
    <row r="365">
      <c r="A365" s="32">
        <f>IF($B365="","",IFERROR(IMAGE($B365,4,60,60),""))</f>
        <v/>
      </c>
      <c r="T365" s="68" t="n"/>
      <c r="V365" s="32">
        <f>IF($M365="","",IF($M365=0,"Out of stock",IF(OR($P365="",$Q365=""),"No window",IF(YEAR(TODAY())&lt;$P365,"Too young",IF(YEAR(TODAY())&gt;$Q365,"Past peak",IF(YEAR(TODAY())=$Q365,"Drink now","Ready"))))))</f>
        <v/>
      </c>
    </row>
    <row r="366">
      <c r="A366" s="32">
        <f>IF($B366="","",IFERROR(IMAGE($B366,4,60,60),""))</f>
        <v/>
      </c>
      <c r="T366" s="68" t="n"/>
      <c r="V366" s="32">
        <f>IF($M366="","",IF($M366=0,"Out of stock",IF(OR($P366="",$Q366=""),"No window",IF(YEAR(TODAY())&lt;$P366,"Too young",IF(YEAR(TODAY())&gt;$Q366,"Past peak",IF(YEAR(TODAY())=$Q366,"Drink now","Ready"))))))</f>
        <v/>
      </c>
    </row>
    <row r="367">
      <c r="A367" s="32">
        <f>IF($B367="","",IFERROR(IMAGE($B367,4,60,60),""))</f>
        <v/>
      </c>
      <c r="T367" s="68" t="n"/>
      <c r="V367" s="32">
        <f>IF($M367="","",IF($M367=0,"Out of stock",IF(OR($P367="",$Q367=""),"No window",IF(YEAR(TODAY())&lt;$P367,"Too young",IF(YEAR(TODAY())&gt;$Q367,"Past peak",IF(YEAR(TODAY())=$Q367,"Drink now","Ready"))))))</f>
        <v/>
      </c>
    </row>
    <row r="368">
      <c r="A368" s="32">
        <f>IF($B368="","",IFERROR(IMAGE($B368,4,60,60),""))</f>
        <v/>
      </c>
      <c r="T368" s="68" t="n"/>
      <c r="V368" s="32">
        <f>IF($M368="","",IF($M368=0,"Out of stock",IF(OR($P368="",$Q368=""),"No window",IF(YEAR(TODAY())&lt;$P368,"Too young",IF(YEAR(TODAY())&gt;$Q368,"Past peak",IF(YEAR(TODAY())=$Q368,"Drink now","Ready"))))))</f>
        <v/>
      </c>
    </row>
    <row r="369">
      <c r="A369" s="32">
        <f>IF($B369="","",IFERROR(IMAGE($B369,4,60,60),""))</f>
        <v/>
      </c>
      <c r="T369" s="68" t="n"/>
      <c r="V369" s="32">
        <f>IF($M369="","",IF($M369=0,"Out of stock",IF(OR($P369="",$Q369=""),"No window",IF(YEAR(TODAY())&lt;$P369,"Too young",IF(YEAR(TODAY())&gt;$Q369,"Past peak",IF(YEAR(TODAY())=$Q369,"Drink now","Ready"))))))</f>
        <v/>
      </c>
    </row>
    <row r="370">
      <c r="A370" s="32">
        <f>IF($B370="","",IFERROR(IMAGE($B370,4,60,60),""))</f>
        <v/>
      </c>
      <c r="T370" s="68" t="n"/>
      <c r="V370" s="32">
        <f>IF($M370="","",IF($M370=0,"Out of stock",IF(OR($P370="",$Q370=""),"No window",IF(YEAR(TODAY())&lt;$P370,"Too young",IF(YEAR(TODAY())&gt;$Q370,"Past peak",IF(YEAR(TODAY())=$Q370,"Drink now","Ready"))))))</f>
        <v/>
      </c>
    </row>
    <row r="371">
      <c r="A371" s="32">
        <f>IF($B371="","",IFERROR(IMAGE($B371,4,60,60),""))</f>
        <v/>
      </c>
      <c r="T371" s="68" t="n"/>
      <c r="V371" s="32">
        <f>IF($M371="","",IF($M371=0,"Out of stock",IF(OR($P371="",$Q371=""),"No window",IF(YEAR(TODAY())&lt;$P371,"Too young",IF(YEAR(TODAY())&gt;$Q371,"Past peak",IF(YEAR(TODAY())=$Q371,"Drink now","Ready"))))))</f>
        <v/>
      </c>
    </row>
    <row r="372">
      <c r="A372" s="32">
        <f>IF($B372="","",IFERROR(IMAGE($B372,4,60,60),""))</f>
        <v/>
      </c>
      <c r="T372" s="68" t="n"/>
      <c r="V372" s="32">
        <f>IF($M372="","",IF($M372=0,"Out of stock",IF(OR($P372="",$Q372=""),"No window",IF(YEAR(TODAY())&lt;$P372,"Too young",IF(YEAR(TODAY())&gt;$Q372,"Past peak",IF(YEAR(TODAY())=$Q372,"Drink now","Ready"))))))</f>
        <v/>
      </c>
    </row>
    <row r="373">
      <c r="A373" s="32">
        <f>IF($B373="","",IFERROR(IMAGE($B373,4,60,60),""))</f>
        <v/>
      </c>
      <c r="T373" s="68" t="n"/>
      <c r="V373" s="32">
        <f>IF($M373="","",IF($M373=0,"Out of stock",IF(OR($P373="",$Q373=""),"No window",IF(YEAR(TODAY())&lt;$P373,"Too young",IF(YEAR(TODAY())&gt;$Q373,"Past peak",IF(YEAR(TODAY())=$Q373,"Drink now","Ready"))))))</f>
        <v/>
      </c>
    </row>
    <row r="374">
      <c r="A374" s="32">
        <f>IF($B374="","",IFERROR(IMAGE($B374,4,60,60),""))</f>
        <v/>
      </c>
      <c r="T374" s="68" t="n"/>
      <c r="V374" s="32">
        <f>IF($M374="","",IF($M374=0,"Out of stock",IF(OR($P374="",$Q374=""),"No window",IF(YEAR(TODAY())&lt;$P374,"Too young",IF(YEAR(TODAY())&gt;$Q374,"Past peak",IF(YEAR(TODAY())=$Q374,"Drink now","Ready"))))))</f>
        <v/>
      </c>
    </row>
    <row r="375">
      <c r="A375" s="32">
        <f>IF($B375="","",IFERROR(IMAGE($B375,4,60,60),""))</f>
        <v/>
      </c>
      <c r="T375" s="68" t="n"/>
      <c r="V375" s="32">
        <f>IF($M375="","",IF($M375=0,"Out of stock",IF(OR($P375="",$Q375=""),"No window",IF(YEAR(TODAY())&lt;$P375,"Too young",IF(YEAR(TODAY())&gt;$Q375,"Past peak",IF(YEAR(TODAY())=$Q375,"Drink now","Ready"))))))</f>
        <v/>
      </c>
    </row>
    <row r="376">
      <c r="A376" s="32">
        <f>IF($B376="","",IFERROR(IMAGE($B376,4,60,60),""))</f>
        <v/>
      </c>
      <c r="T376" s="68" t="n"/>
      <c r="V376" s="32">
        <f>IF($M376="","",IF($M376=0,"Out of stock",IF(OR($P376="",$Q376=""),"No window",IF(YEAR(TODAY())&lt;$P376,"Too young",IF(YEAR(TODAY())&gt;$Q376,"Past peak",IF(YEAR(TODAY())=$Q376,"Drink now","Ready"))))))</f>
        <v/>
      </c>
    </row>
    <row r="377">
      <c r="A377" s="32">
        <f>IF($B377="","",IFERROR(IMAGE($B377,4,60,60),""))</f>
        <v/>
      </c>
      <c r="T377" s="68" t="n"/>
      <c r="V377" s="32">
        <f>IF($M377="","",IF($M377=0,"Out of stock",IF(OR($P377="",$Q377=""),"No window",IF(YEAR(TODAY())&lt;$P377,"Too young",IF(YEAR(TODAY())&gt;$Q377,"Past peak",IF(YEAR(TODAY())=$Q377,"Drink now","Ready"))))))</f>
        <v/>
      </c>
    </row>
    <row r="378">
      <c r="A378" s="32">
        <f>IF($B378="","",IFERROR(IMAGE($B378,4,60,60),""))</f>
        <v/>
      </c>
      <c r="T378" s="68" t="n"/>
      <c r="V378" s="32">
        <f>IF($M378="","",IF($M378=0,"Out of stock",IF(OR($P378="",$Q378=""),"No window",IF(YEAR(TODAY())&lt;$P378,"Too young",IF(YEAR(TODAY())&gt;$Q378,"Past peak",IF(YEAR(TODAY())=$Q378,"Drink now","Ready"))))))</f>
        <v/>
      </c>
    </row>
    <row r="379">
      <c r="A379" s="32">
        <f>IF($B379="","",IFERROR(IMAGE($B379,4,60,60),""))</f>
        <v/>
      </c>
      <c r="T379" s="68" t="n"/>
      <c r="V379" s="32">
        <f>IF($M379="","",IF($M379=0,"Out of stock",IF(OR($P379="",$Q379=""),"No window",IF(YEAR(TODAY())&lt;$P379,"Too young",IF(YEAR(TODAY())&gt;$Q379,"Past peak",IF(YEAR(TODAY())=$Q379,"Drink now","Ready"))))))</f>
        <v/>
      </c>
    </row>
    <row r="380">
      <c r="A380" s="32">
        <f>IF($B380="","",IFERROR(IMAGE($B380,4,60,60),""))</f>
        <v/>
      </c>
      <c r="T380" s="68" t="n"/>
      <c r="V380" s="32">
        <f>IF($M380="","",IF($M380=0,"Out of stock",IF(OR($P380="",$Q380=""),"No window",IF(YEAR(TODAY())&lt;$P380,"Too young",IF(YEAR(TODAY())&gt;$Q380,"Past peak",IF(YEAR(TODAY())=$Q380,"Drink now","Ready"))))))</f>
        <v/>
      </c>
    </row>
    <row r="381">
      <c r="A381" s="32">
        <f>IF($B381="","",IFERROR(IMAGE($B381,4,60,60),""))</f>
        <v/>
      </c>
      <c r="T381" s="68" t="n"/>
      <c r="V381" s="32">
        <f>IF($M381="","",IF($M381=0,"Out of stock",IF(OR($P381="",$Q381=""),"No window",IF(YEAR(TODAY())&lt;$P381,"Too young",IF(YEAR(TODAY())&gt;$Q381,"Past peak",IF(YEAR(TODAY())=$Q381,"Drink now","Ready"))))))</f>
        <v/>
      </c>
    </row>
    <row r="382">
      <c r="A382" s="32">
        <f>IF($B382="","",IFERROR(IMAGE($B382,4,60,60),""))</f>
        <v/>
      </c>
      <c r="T382" s="68" t="n"/>
      <c r="V382" s="32">
        <f>IF($M382="","",IF($M382=0,"Out of stock",IF(OR($P382="",$Q382=""),"No window",IF(YEAR(TODAY())&lt;$P382,"Too young",IF(YEAR(TODAY())&gt;$Q382,"Past peak",IF(YEAR(TODAY())=$Q382,"Drink now","Ready"))))))</f>
        <v/>
      </c>
    </row>
    <row r="383">
      <c r="A383" s="32">
        <f>IF($B383="","",IFERROR(IMAGE($B383,4,60,60),""))</f>
        <v/>
      </c>
      <c r="T383" s="68" t="n"/>
      <c r="V383" s="32">
        <f>IF($M383="","",IF($M383=0,"Out of stock",IF(OR($P383="",$Q383=""),"No window",IF(YEAR(TODAY())&lt;$P383,"Too young",IF(YEAR(TODAY())&gt;$Q383,"Past peak",IF(YEAR(TODAY())=$Q383,"Drink now","Ready"))))))</f>
        <v/>
      </c>
    </row>
    <row r="384">
      <c r="A384" s="32">
        <f>IF($B384="","",IFERROR(IMAGE($B384,4,60,60),""))</f>
        <v/>
      </c>
      <c r="T384" s="68" t="n"/>
      <c r="V384" s="32">
        <f>IF($M384="","",IF($M384=0,"Out of stock",IF(OR($P384="",$Q384=""),"No window",IF(YEAR(TODAY())&lt;$P384,"Too young",IF(YEAR(TODAY())&gt;$Q384,"Past peak",IF(YEAR(TODAY())=$Q384,"Drink now","Ready"))))))</f>
        <v/>
      </c>
    </row>
    <row r="385">
      <c r="A385" s="32">
        <f>IF($B385="","",IFERROR(IMAGE($B385,4,60,60),""))</f>
        <v/>
      </c>
      <c r="T385" s="68" t="n"/>
      <c r="V385" s="32">
        <f>IF($M385="","",IF($M385=0,"Out of stock",IF(OR($P385="",$Q385=""),"No window",IF(YEAR(TODAY())&lt;$P385,"Too young",IF(YEAR(TODAY())&gt;$Q385,"Past peak",IF(YEAR(TODAY())=$Q385,"Drink now","Ready"))))))</f>
        <v/>
      </c>
    </row>
    <row r="386">
      <c r="A386" s="32">
        <f>IF($B386="","",IFERROR(IMAGE($B386,4,60,60),""))</f>
        <v/>
      </c>
      <c r="T386" s="68" t="n"/>
      <c r="V386" s="32">
        <f>IF($M386="","",IF($M386=0,"Out of stock",IF(OR($P386="",$Q386=""),"No window",IF(YEAR(TODAY())&lt;$P386,"Too young",IF(YEAR(TODAY())&gt;$Q386,"Past peak",IF(YEAR(TODAY())=$Q386,"Drink now","Ready"))))))</f>
        <v/>
      </c>
    </row>
    <row r="387">
      <c r="A387" s="32">
        <f>IF($B387="","",IFERROR(IMAGE($B387,4,60,60),""))</f>
        <v/>
      </c>
      <c r="T387" s="68" t="n"/>
      <c r="V387" s="32">
        <f>IF($M387="","",IF($M387=0,"Out of stock",IF(OR($P387="",$Q387=""),"No window",IF(YEAR(TODAY())&lt;$P387,"Too young",IF(YEAR(TODAY())&gt;$Q387,"Past peak",IF(YEAR(TODAY())=$Q387,"Drink now","Ready"))))))</f>
        <v/>
      </c>
    </row>
    <row r="388">
      <c r="A388" s="32">
        <f>IF($B388="","",IFERROR(IMAGE($B388,4,60,60),""))</f>
        <v/>
      </c>
      <c r="T388" s="68" t="n"/>
      <c r="V388" s="32">
        <f>IF($M388="","",IF($M388=0,"Out of stock",IF(OR($P388="",$Q388=""),"No window",IF(YEAR(TODAY())&lt;$P388,"Too young",IF(YEAR(TODAY())&gt;$Q388,"Past peak",IF(YEAR(TODAY())=$Q388,"Drink now","Ready"))))))</f>
        <v/>
      </c>
    </row>
    <row r="389">
      <c r="A389" s="32">
        <f>IF($B389="","",IFERROR(IMAGE($B389,4,60,60),""))</f>
        <v/>
      </c>
      <c r="T389" s="68" t="n"/>
      <c r="V389" s="32">
        <f>IF($M389="","",IF($M389=0,"Out of stock",IF(OR($P389="",$Q389=""),"No window",IF(YEAR(TODAY())&lt;$P389,"Too young",IF(YEAR(TODAY())&gt;$Q389,"Past peak",IF(YEAR(TODAY())=$Q389,"Drink now","Ready"))))))</f>
        <v/>
      </c>
    </row>
    <row r="390">
      <c r="A390" s="32">
        <f>IF($B390="","",IFERROR(IMAGE($B390,4,60,60),""))</f>
        <v/>
      </c>
      <c r="T390" s="68" t="n"/>
      <c r="V390" s="32">
        <f>IF($M390="","",IF($M390=0,"Out of stock",IF(OR($P390="",$Q390=""),"No window",IF(YEAR(TODAY())&lt;$P390,"Too young",IF(YEAR(TODAY())&gt;$Q390,"Past peak",IF(YEAR(TODAY())=$Q390,"Drink now","Ready"))))))</f>
        <v/>
      </c>
    </row>
    <row r="391">
      <c r="A391" s="32">
        <f>IF($B391="","",IFERROR(IMAGE($B391,4,60,60),""))</f>
        <v/>
      </c>
      <c r="T391" s="68" t="n"/>
      <c r="V391" s="32">
        <f>IF($M391="","",IF($M391=0,"Out of stock",IF(OR($P391="",$Q391=""),"No window",IF(YEAR(TODAY())&lt;$P391,"Too young",IF(YEAR(TODAY())&gt;$Q391,"Past peak",IF(YEAR(TODAY())=$Q391,"Drink now","Ready"))))))</f>
        <v/>
      </c>
    </row>
    <row r="392">
      <c r="A392" s="32">
        <f>IF($B392="","",IFERROR(IMAGE($B392,4,60,60),""))</f>
        <v/>
      </c>
      <c r="T392" s="68" t="n"/>
      <c r="V392" s="32">
        <f>IF($M392="","",IF($M392=0,"Out of stock",IF(OR($P392="",$Q392=""),"No window",IF(YEAR(TODAY())&lt;$P392,"Too young",IF(YEAR(TODAY())&gt;$Q392,"Past peak",IF(YEAR(TODAY())=$Q392,"Drink now","Ready"))))))</f>
        <v/>
      </c>
    </row>
    <row r="393">
      <c r="A393" s="32">
        <f>IF($B393="","",IFERROR(IMAGE($B393,4,60,60),""))</f>
        <v/>
      </c>
      <c r="T393" s="68" t="n"/>
      <c r="V393" s="32">
        <f>IF($M393="","",IF($M393=0,"Out of stock",IF(OR($P393="",$Q393=""),"No window",IF(YEAR(TODAY())&lt;$P393,"Too young",IF(YEAR(TODAY())&gt;$Q393,"Past peak",IF(YEAR(TODAY())=$Q393,"Drink now","Ready"))))))</f>
        <v/>
      </c>
    </row>
    <row r="394">
      <c r="A394" s="32">
        <f>IF($B394="","",IFERROR(IMAGE($B394,4,60,60),""))</f>
        <v/>
      </c>
      <c r="T394" s="68" t="n"/>
      <c r="V394" s="32">
        <f>IF($M394="","",IF($M394=0,"Out of stock",IF(OR($P394="",$Q394=""),"No window",IF(YEAR(TODAY())&lt;$P394,"Too young",IF(YEAR(TODAY())&gt;$Q394,"Past peak",IF(YEAR(TODAY())=$Q394,"Drink now","Ready"))))))</f>
        <v/>
      </c>
    </row>
    <row r="395">
      <c r="A395" s="32">
        <f>IF($B395="","",IFERROR(IMAGE($B395,4,60,60),""))</f>
        <v/>
      </c>
      <c r="T395" s="68" t="n"/>
      <c r="V395" s="32">
        <f>IF($M395="","",IF($M395=0,"Out of stock",IF(OR($P395="",$Q395=""),"No window",IF(YEAR(TODAY())&lt;$P395,"Too young",IF(YEAR(TODAY())&gt;$Q395,"Past peak",IF(YEAR(TODAY())=$Q395,"Drink now","Ready"))))))</f>
        <v/>
      </c>
    </row>
    <row r="396">
      <c r="A396" s="32">
        <f>IF($B396="","",IFERROR(IMAGE($B396,4,60,60),""))</f>
        <v/>
      </c>
      <c r="T396" s="68" t="n"/>
      <c r="V396" s="32">
        <f>IF($M396="","",IF($M396=0,"Out of stock",IF(OR($P396="",$Q396=""),"No window",IF(YEAR(TODAY())&lt;$P396,"Too young",IF(YEAR(TODAY())&gt;$Q396,"Past peak",IF(YEAR(TODAY())=$Q396,"Drink now","Ready"))))))</f>
        <v/>
      </c>
    </row>
    <row r="397">
      <c r="A397" s="32">
        <f>IF($B397="","",IFERROR(IMAGE($B397,4,60,60),""))</f>
        <v/>
      </c>
      <c r="T397" s="68" t="n"/>
      <c r="V397" s="32">
        <f>IF($M397="","",IF($M397=0,"Out of stock",IF(OR($P397="",$Q397=""),"No window",IF(YEAR(TODAY())&lt;$P397,"Too young",IF(YEAR(TODAY())&gt;$Q397,"Past peak",IF(YEAR(TODAY())=$Q397,"Drink now","Ready"))))))</f>
        <v/>
      </c>
    </row>
    <row r="398">
      <c r="A398" s="32">
        <f>IF($B398="","",IFERROR(IMAGE($B398,4,60,60),""))</f>
        <v/>
      </c>
      <c r="T398" s="68" t="n"/>
      <c r="V398" s="32">
        <f>IF($M398="","",IF($M398=0,"Out of stock",IF(OR($P398="",$Q398=""),"No window",IF(YEAR(TODAY())&lt;$P398,"Too young",IF(YEAR(TODAY())&gt;$Q398,"Past peak",IF(YEAR(TODAY())=$Q398,"Drink now","Ready"))))))</f>
        <v/>
      </c>
    </row>
    <row r="399">
      <c r="A399" s="32">
        <f>IF($B399="","",IFERROR(IMAGE($B399,4,60,60),""))</f>
        <v/>
      </c>
      <c r="T399" s="68" t="n"/>
      <c r="V399" s="32">
        <f>IF($M399="","",IF($M399=0,"Out of stock",IF(OR($P399="",$Q399=""),"No window",IF(YEAR(TODAY())&lt;$P399,"Too young",IF(YEAR(TODAY())&gt;$Q399,"Past peak",IF(YEAR(TODAY())=$Q399,"Drink now","Ready"))))))</f>
        <v/>
      </c>
    </row>
    <row r="400">
      <c r="A400" s="32">
        <f>IF($B400="","",IFERROR(IMAGE($B400,4,60,60),""))</f>
        <v/>
      </c>
      <c r="T400" s="68" t="n"/>
      <c r="V400" s="32">
        <f>IF($M400="","",IF($M400=0,"Out of stock",IF(OR($P400="",$Q400=""),"No window",IF(YEAR(TODAY())&lt;$P400,"Too young",IF(YEAR(TODAY())&gt;$Q400,"Past peak",IF(YEAR(TODAY())=$Q400,"Drink now","Ready"))))))</f>
        <v/>
      </c>
    </row>
    <row r="401">
      <c r="A401" s="32">
        <f>IF($B401="","",IFERROR(IMAGE($B401,4,60,60),""))</f>
        <v/>
      </c>
      <c r="T401" s="68" t="n"/>
      <c r="V401" s="32">
        <f>IF($M401="","",IF($M401=0,"Out of stock",IF(OR($P401="",$Q401=""),"No window",IF(YEAR(TODAY())&lt;$P401,"Too young",IF(YEAR(TODAY())&gt;$Q401,"Past peak",IF(YEAR(TODAY())=$Q401,"Drink now","Ready"))))))</f>
        <v/>
      </c>
    </row>
    <row r="402">
      <c r="A402" s="32">
        <f>IF($B402="","",IFERROR(IMAGE($B402,4,60,60),""))</f>
        <v/>
      </c>
      <c r="T402" s="68" t="n"/>
      <c r="V402" s="32">
        <f>IF($M402="","",IF($M402=0,"Out of stock",IF(OR($P402="",$Q402=""),"No window",IF(YEAR(TODAY())&lt;$P402,"Too young",IF(YEAR(TODAY())&gt;$Q402,"Past peak",IF(YEAR(TODAY())=$Q402,"Drink now","Ready"))))))</f>
        <v/>
      </c>
    </row>
    <row r="403">
      <c r="A403" s="32">
        <f>IF($B403="","",IFERROR(IMAGE($B403,4,60,60),""))</f>
        <v/>
      </c>
      <c r="T403" s="68" t="n"/>
      <c r="V403" s="32">
        <f>IF($M403="","",IF($M403=0,"Out of stock",IF(OR($P403="",$Q403=""),"No window",IF(YEAR(TODAY())&lt;$P403,"Too young",IF(YEAR(TODAY())&gt;$Q403,"Past peak",IF(YEAR(TODAY())=$Q403,"Drink now","Ready"))))))</f>
        <v/>
      </c>
    </row>
    <row r="404">
      <c r="A404" s="32">
        <f>IF($B404="","",IFERROR(IMAGE($B404,4,60,60),""))</f>
        <v/>
      </c>
      <c r="T404" s="68" t="n"/>
      <c r="V404" s="32">
        <f>IF($M404="","",IF($M404=0,"Out of stock",IF(OR($P404="",$Q404=""),"No window",IF(YEAR(TODAY())&lt;$P404,"Too young",IF(YEAR(TODAY())&gt;$Q404,"Past peak",IF(YEAR(TODAY())=$Q404,"Drink now","Ready"))))))</f>
        <v/>
      </c>
    </row>
    <row r="405">
      <c r="A405" s="32">
        <f>IF($B405="","",IFERROR(IMAGE($B405,4,60,60),""))</f>
        <v/>
      </c>
      <c r="T405" s="68" t="n"/>
      <c r="V405" s="32">
        <f>IF($M405="","",IF($M405=0,"Out of stock",IF(OR($P405="",$Q405=""),"No window",IF(YEAR(TODAY())&lt;$P405,"Too young",IF(YEAR(TODAY())&gt;$Q405,"Past peak",IF(YEAR(TODAY())=$Q405,"Drink now","Ready"))))))</f>
        <v/>
      </c>
    </row>
    <row r="406">
      <c r="A406" s="32">
        <f>IF($B406="","",IFERROR(IMAGE($B406,4,60,60),""))</f>
        <v/>
      </c>
      <c r="T406" s="68" t="n"/>
      <c r="V406" s="32">
        <f>IF($M406="","",IF($M406=0,"Out of stock",IF(OR($P406="",$Q406=""),"No window",IF(YEAR(TODAY())&lt;$P406,"Too young",IF(YEAR(TODAY())&gt;$Q406,"Past peak",IF(YEAR(TODAY())=$Q406,"Drink now","Ready"))))))</f>
        <v/>
      </c>
    </row>
    <row r="407">
      <c r="A407" s="32">
        <f>IF($B407="","",IFERROR(IMAGE($B407,4,60,60),""))</f>
        <v/>
      </c>
      <c r="T407" s="68" t="n"/>
      <c r="V407" s="32">
        <f>IF($M407="","",IF($M407=0,"Out of stock",IF(OR($P407="",$Q407=""),"No window",IF(YEAR(TODAY())&lt;$P407,"Too young",IF(YEAR(TODAY())&gt;$Q407,"Past peak",IF(YEAR(TODAY())=$Q407,"Drink now","Ready"))))))</f>
        <v/>
      </c>
    </row>
    <row r="408">
      <c r="A408" s="32">
        <f>IF($B408="","",IFERROR(IMAGE($B408,4,60,60),""))</f>
        <v/>
      </c>
      <c r="T408" s="68" t="n"/>
      <c r="V408" s="32">
        <f>IF($M408="","",IF($M408=0,"Out of stock",IF(OR($P408="",$Q408=""),"No window",IF(YEAR(TODAY())&lt;$P408,"Too young",IF(YEAR(TODAY())&gt;$Q408,"Past peak",IF(YEAR(TODAY())=$Q408,"Drink now","Ready"))))))</f>
        <v/>
      </c>
    </row>
    <row r="409">
      <c r="A409" s="32">
        <f>IF($B409="","",IFERROR(IMAGE($B409,4,60,60),""))</f>
        <v/>
      </c>
      <c r="T409" s="68" t="n"/>
      <c r="V409" s="32">
        <f>IF($M409="","",IF($M409=0,"Out of stock",IF(OR($P409="",$Q409=""),"No window",IF(YEAR(TODAY())&lt;$P409,"Too young",IF(YEAR(TODAY())&gt;$Q409,"Past peak",IF(YEAR(TODAY())=$Q409,"Drink now","Ready"))))))</f>
        <v/>
      </c>
    </row>
    <row r="410">
      <c r="A410" s="32">
        <f>IF($B410="","",IFERROR(IMAGE($B410,4,60,60),""))</f>
        <v/>
      </c>
      <c r="T410" s="68" t="n"/>
      <c r="V410" s="32">
        <f>IF($M410="","",IF($M410=0,"Out of stock",IF(OR($P410="",$Q410=""),"No window",IF(YEAR(TODAY())&lt;$P410,"Too young",IF(YEAR(TODAY())&gt;$Q410,"Past peak",IF(YEAR(TODAY())=$Q410,"Drink now","Ready"))))))</f>
        <v/>
      </c>
    </row>
    <row r="411">
      <c r="A411" s="32">
        <f>IF($B411="","",IFERROR(IMAGE($B411,4,60,60),""))</f>
        <v/>
      </c>
      <c r="T411" s="68" t="n"/>
      <c r="V411" s="32">
        <f>IF($M411="","",IF($M411=0,"Out of stock",IF(OR($P411="",$Q411=""),"No window",IF(YEAR(TODAY())&lt;$P411,"Too young",IF(YEAR(TODAY())&gt;$Q411,"Past peak",IF(YEAR(TODAY())=$Q411,"Drink now","Ready"))))))</f>
        <v/>
      </c>
    </row>
    <row r="412">
      <c r="A412" s="32">
        <f>IF($B412="","",IFERROR(IMAGE($B412,4,60,60),""))</f>
        <v/>
      </c>
      <c r="T412" s="68" t="n"/>
      <c r="V412" s="32">
        <f>IF($M412="","",IF($M412=0,"Out of stock",IF(OR($P412="",$Q412=""),"No window",IF(YEAR(TODAY())&lt;$P412,"Too young",IF(YEAR(TODAY())&gt;$Q412,"Past peak",IF(YEAR(TODAY())=$Q412,"Drink now","Ready"))))))</f>
        <v/>
      </c>
    </row>
    <row r="413">
      <c r="A413" s="32">
        <f>IF($B413="","",IFERROR(IMAGE($B413,4,60,60),""))</f>
        <v/>
      </c>
      <c r="T413" s="68" t="n"/>
      <c r="V413" s="32">
        <f>IF($M413="","",IF($M413=0,"Out of stock",IF(OR($P413="",$Q413=""),"No window",IF(YEAR(TODAY())&lt;$P413,"Too young",IF(YEAR(TODAY())&gt;$Q413,"Past peak",IF(YEAR(TODAY())=$Q413,"Drink now","Ready"))))))</f>
        <v/>
      </c>
    </row>
    <row r="414">
      <c r="A414" s="32">
        <f>IF($B414="","",IFERROR(IMAGE($B414,4,60,60),""))</f>
        <v/>
      </c>
      <c r="T414" s="68" t="n"/>
      <c r="V414" s="32">
        <f>IF($M414="","",IF($M414=0,"Out of stock",IF(OR($P414="",$Q414=""),"No window",IF(YEAR(TODAY())&lt;$P414,"Too young",IF(YEAR(TODAY())&gt;$Q414,"Past peak",IF(YEAR(TODAY())=$Q414,"Drink now","Ready"))))))</f>
        <v/>
      </c>
    </row>
    <row r="415">
      <c r="A415" s="32">
        <f>IF($B415="","",IFERROR(IMAGE($B415,4,60,60),""))</f>
        <v/>
      </c>
      <c r="T415" s="68" t="n"/>
      <c r="V415" s="32">
        <f>IF($M415="","",IF($M415=0,"Out of stock",IF(OR($P415="",$Q415=""),"No window",IF(YEAR(TODAY())&lt;$P415,"Too young",IF(YEAR(TODAY())&gt;$Q415,"Past peak",IF(YEAR(TODAY())=$Q415,"Drink now","Ready"))))))</f>
        <v/>
      </c>
    </row>
    <row r="416">
      <c r="A416" s="32">
        <f>IF($B416="","",IFERROR(IMAGE($B416,4,60,60),""))</f>
        <v/>
      </c>
      <c r="T416" s="68" t="n"/>
      <c r="V416" s="32">
        <f>IF($M416="","",IF($M416=0,"Out of stock",IF(OR($P416="",$Q416=""),"No window",IF(YEAR(TODAY())&lt;$P416,"Too young",IF(YEAR(TODAY())&gt;$Q416,"Past peak",IF(YEAR(TODAY())=$Q416,"Drink now","Ready"))))))</f>
        <v/>
      </c>
    </row>
    <row r="417">
      <c r="A417" s="32">
        <f>IF($B417="","",IFERROR(IMAGE($B417,4,60,60),""))</f>
        <v/>
      </c>
      <c r="T417" s="68" t="n"/>
      <c r="V417" s="32">
        <f>IF($M417="","",IF($M417=0,"Out of stock",IF(OR($P417="",$Q417=""),"No window",IF(YEAR(TODAY())&lt;$P417,"Too young",IF(YEAR(TODAY())&gt;$Q417,"Past peak",IF(YEAR(TODAY())=$Q417,"Drink now","Ready"))))))</f>
        <v/>
      </c>
    </row>
    <row r="418">
      <c r="A418" s="32">
        <f>IF($B418="","",IFERROR(IMAGE($B418,4,60,60),""))</f>
        <v/>
      </c>
      <c r="T418" s="68" t="n"/>
      <c r="V418" s="32">
        <f>IF($M418="","",IF($M418=0,"Out of stock",IF(OR($P418="",$Q418=""),"No window",IF(YEAR(TODAY())&lt;$P418,"Too young",IF(YEAR(TODAY())&gt;$Q418,"Past peak",IF(YEAR(TODAY())=$Q418,"Drink now","Ready"))))))</f>
        <v/>
      </c>
    </row>
    <row r="419">
      <c r="A419" s="32">
        <f>IF($B419="","",IFERROR(IMAGE($B419,4,60,60),""))</f>
        <v/>
      </c>
      <c r="T419" s="68" t="n"/>
      <c r="V419" s="32">
        <f>IF($M419="","",IF($M419=0,"Out of stock",IF(OR($P419="",$Q419=""),"No window",IF(YEAR(TODAY())&lt;$P419,"Too young",IF(YEAR(TODAY())&gt;$Q419,"Past peak",IF(YEAR(TODAY())=$Q419,"Drink now","Ready"))))))</f>
        <v/>
      </c>
    </row>
    <row r="420">
      <c r="A420" s="32">
        <f>IF($B420="","",IFERROR(IMAGE($B420,4,60,60),""))</f>
        <v/>
      </c>
      <c r="T420" s="68" t="n"/>
      <c r="V420" s="32">
        <f>IF($M420="","",IF($M420=0,"Out of stock",IF(OR($P420="",$Q420=""),"No window",IF(YEAR(TODAY())&lt;$P420,"Too young",IF(YEAR(TODAY())&gt;$Q420,"Past peak",IF(YEAR(TODAY())=$Q420,"Drink now","Ready"))))))</f>
        <v/>
      </c>
    </row>
    <row r="421">
      <c r="A421" s="32">
        <f>IF($B421="","",IFERROR(IMAGE($B421,4,60,60),""))</f>
        <v/>
      </c>
      <c r="T421" s="68" t="n"/>
      <c r="V421" s="32">
        <f>IF($M421="","",IF($M421=0,"Out of stock",IF(OR($P421="",$Q421=""),"No window",IF(YEAR(TODAY())&lt;$P421,"Too young",IF(YEAR(TODAY())&gt;$Q421,"Past peak",IF(YEAR(TODAY())=$Q421,"Drink now","Ready"))))))</f>
        <v/>
      </c>
    </row>
    <row r="422">
      <c r="A422" s="32">
        <f>IF($B422="","",IFERROR(IMAGE($B422,4,60,60),""))</f>
        <v/>
      </c>
      <c r="T422" s="68" t="n"/>
      <c r="V422" s="32">
        <f>IF($M422="","",IF($M422=0,"Out of stock",IF(OR($P422="",$Q422=""),"No window",IF(YEAR(TODAY())&lt;$P422,"Too young",IF(YEAR(TODAY())&gt;$Q422,"Past peak",IF(YEAR(TODAY())=$Q422,"Drink now","Ready"))))))</f>
        <v/>
      </c>
    </row>
    <row r="423">
      <c r="A423" s="32">
        <f>IF($B423="","",IFERROR(IMAGE($B423,4,60,60),""))</f>
        <v/>
      </c>
      <c r="T423" s="68" t="n"/>
      <c r="V423" s="32">
        <f>IF($M423="","",IF($M423=0,"Out of stock",IF(OR($P423="",$Q423=""),"No window",IF(YEAR(TODAY())&lt;$P423,"Too young",IF(YEAR(TODAY())&gt;$Q423,"Past peak",IF(YEAR(TODAY())=$Q423,"Drink now","Ready"))))))</f>
        <v/>
      </c>
    </row>
    <row r="424">
      <c r="A424" s="32">
        <f>IF($B424="","",IFERROR(IMAGE($B424,4,60,60),""))</f>
        <v/>
      </c>
      <c r="T424" s="68" t="n"/>
      <c r="V424" s="32">
        <f>IF($M424="","",IF($M424=0,"Out of stock",IF(OR($P424="",$Q424=""),"No window",IF(YEAR(TODAY())&lt;$P424,"Too young",IF(YEAR(TODAY())&gt;$Q424,"Past peak",IF(YEAR(TODAY())=$Q424,"Drink now","Ready"))))))</f>
        <v/>
      </c>
    </row>
    <row r="425">
      <c r="A425" s="32">
        <f>IF($B425="","",IFERROR(IMAGE($B425,4,60,60),""))</f>
        <v/>
      </c>
      <c r="T425" s="68" t="n"/>
      <c r="V425" s="32">
        <f>IF($M425="","",IF($M425=0,"Out of stock",IF(OR($P425="",$Q425=""),"No window",IF(YEAR(TODAY())&lt;$P425,"Too young",IF(YEAR(TODAY())&gt;$Q425,"Past peak",IF(YEAR(TODAY())=$Q425,"Drink now","Ready"))))))</f>
        <v/>
      </c>
    </row>
    <row r="426">
      <c r="A426" s="32">
        <f>IF($B426="","",IFERROR(IMAGE($B426,4,60,60),""))</f>
        <v/>
      </c>
      <c r="T426" s="68" t="n"/>
      <c r="V426" s="32">
        <f>IF($M426="","",IF($M426=0,"Out of stock",IF(OR($P426="",$Q426=""),"No window",IF(YEAR(TODAY())&lt;$P426,"Too young",IF(YEAR(TODAY())&gt;$Q426,"Past peak",IF(YEAR(TODAY())=$Q426,"Drink now","Ready"))))))</f>
        <v/>
      </c>
    </row>
    <row r="427">
      <c r="A427" s="32">
        <f>IF($B427="","",IFERROR(IMAGE($B427,4,60,60),""))</f>
        <v/>
      </c>
      <c r="T427" s="68" t="n"/>
      <c r="V427" s="32">
        <f>IF($M427="","",IF($M427=0,"Out of stock",IF(OR($P427="",$Q427=""),"No window",IF(YEAR(TODAY())&lt;$P427,"Too young",IF(YEAR(TODAY())&gt;$Q427,"Past peak",IF(YEAR(TODAY())=$Q427,"Drink now","Ready"))))))</f>
        <v/>
      </c>
    </row>
    <row r="428">
      <c r="A428" s="32">
        <f>IF($B428="","",IFERROR(IMAGE($B428,4,60,60),""))</f>
        <v/>
      </c>
      <c r="T428" s="68" t="n"/>
      <c r="V428" s="32">
        <f>IF($M428="","",IF($M428=0,"Out of stock",IF(OR($P428="",$Q428=""),"No window",IF(YEAR(TODAY())&lt;$P428,"Too young",IF(YEAR(TODAY())&gt;$Q428,"Past peak",IF(YEAR(TODAY())=$Q428,"Drink now","Ready"))))))</f>
        <v/>
      </c>
    </row>
    <row r="429">
      <c r="A429" s="32">
        <f>IF($B429="","",IFERROR(IMAGE($B429,4,60,60),""))</f>
        <v/>
      </c>
      <c r="T429" s="68" t="n"/>
      <c r="V429" s="32">
        <f>IF($M429="","",IF($M429=0,"Out of stock",IF(OR($P429="",$Q429=""),"No window",IF(YEAR(TODAY())&lt;$P429,"Too young",IF(YEAR(TODAY())&gt;$Q429,"Past peak",IF(YEAR(TODAY())=$Q429,"Drink now","Ready"))))))</f>
        <v/>
      </c>
    </row>
    <row r="430">
      <c r="A430" s="32">
        <f>IF($B430="","",IFERROR(IMAGE($B430,4,60,60),""))</f>
        <v/>
      </c>
      <c r="T430" s="68" t="n"/>
      <c r="V430" s="32">
        <f>IF($M430="","",IF($M430=0,"Out of stock",IF(OR($P430="",$Q430=""),"No window",IF(YEAR(TODAY())&lt;$P430,"Too young",IF(YEAR(TODAY())&gt;$Q430,"Past peak",IF(YEAR(TODAY())=$Q430,"Drink now","Ready"))))))</f>
        <v/>
      </c>
    </row>
    <row r="431">
      <c r="A431" s="32">
        <f>IF($B431="","",IFERROR(IMAGE($B431,4,60,60),""))</f>
        <v/>
      </c>
      <c r="T431" s="68" t="n"/>
      <c r="V431" s="32">
        <f>IF($M431="","",IF($M431=0,"Out of stock",IF(OR($P431="",$Q431=""),"No window",IF(YEAR(TODAY())&lt;$P431,"Too young",IF(YEAR(TODAY())&gt;$Q431,"Past peak",IF(YEAR(TODAY())=$Q431,"Drink now","Ready"))))))</f>
        <v/>
      </c>
    </row>
    <row r="432">
      <c r="A432" s="32">
        <f>IF($B432="","",IFERROR(IMAGE($B432,4,60,60),""))</f>
        <v/>
      </c>
      <c r="T432" s="68" t="n"/>
      <c r="V432" s="32">
        <f>IF($M432="","",IF($M432=0,"Out of stock",IF(OR($P432="",$Q432=""),"No window",IF(YEAR(TODAY())&lt;$P432,"Too young",IF(YEAR(TODAY())&gt;$Q432,"Past peak",IF(YEAR(TODAY())=$Q432,"Drink now","Ready"))))))</f>
        <v/>
      </c>
    </row>
    <row r="433">
      <c r="A433" s="32">
        <f>IF($B433="","",IFERROR(IMAGE($B433,4,60,60),""))</f>
        <v/>
      </c>
      <c r="T433" s="68" t="n"/>
      <c r="V433" s="32">
        <f>IF($M433="","",IF($M433=0,"Out of stock",IF(OR($P433="",$Q433=""),"No window",IF(YEAR(TODAY())&lt;$P433,"Too young",IF(YEAR(TODAY())&gt;$Q433,"Past peak",IF(YEAR(TODAY())=$Q433,"Drink now","Ready"))))))</f>
        <v/>
      </c>
    </row>
    <row r="434">
      <c r="A434" s="32">
        <f>IF($B434="","",IFERROR(IMAGE($B434,4,60,60),""))</f>
        <v/>
      </c>
      <c r="T434" s="68" t="n"/>
      <c r="V434" s="32">
        <f>IF($M434="","",IF($M434=0,"Out of stock",IF(OR($P434="",$Q434=""),"No window",IF(YEAR(TODAY())&lt;$P434,"Too young",IF(YEAR(TODAY())&gt;$Q434,"Past peak",IF(YEAR(TODAY())=$Q434,"Drink now","Ready"))))))</f>
        <v/>
      </c>
    </row>
    <row r="435">
      <c r="A435" s="32">
        <f>IF($B435="","",IFERROR(IMAGE($B435,4,60,60),""))</f>
        <v/>
      </c>
      <c r="T435" s="68" t="n"/>
      <c r="V435" s="32">
        <f>IF($M435="","",IF($M435=0,"Out of stock",IF(OR($P435="",$Q435=""),"No window",IF(YEAR(TODAY())&lt;$P435,"Too young",IF(YEAR(TODAY())&gt;$Q435,"Past peak",IF(YEAR(TODAY())=$Q435,"Drink now","Ready"))))))</f>
        <v/>
      </c>
    </row>
    <row r="436">
      <c r="A436" s="32">
        <f>IF($B436="","",IFERROR(IMAGE($B436,4,60,60),""))</f>
        <v/>
      </c>
      <c r="T436" s="68" t="n"/>
      <c r="V436" s="32">
        <f>IF($M436="","",IF($M436=0,"Out of stock",IF(OR($P436="",$Q436=""),"No window",IF(YEAR(TODAY())&lt;$P436,"Too young",IF(YEAR(TODAY())&gt;$Q436,"Past peak",IF(YEAR(TODAY())=$Q436,"Drink now","Ready"))))))</f>
        <v/>
      </c>
    </row>
    <row r="437">
      <c r="A437" s="32">
        <f>IF($B437="","",IFERROR(IMAGE($B437,4,60,60),""))</f>
        <v/>
      </c>
      <c r="T437" s="68" t="n"/>
      <c r="V437" s="32">
        <f>IF($M437="","",IF($M437=0,"Out of stock",IF(OR($P437="",$Q437=""),"No window",IF(YEAR(TODAY())&lt;$P437,"Too young",IF(YEAR(TODAY())&gt;$Q437,"Past peak",IF(YEAR(TODAY())=$Q437,"Drink now","Ready"))))))</f>
        <v/>
      </c>
    </row>
    <row r="438">
      <c r="A438" s="32">
        <f>IF($B438="","",IFERROR(IMAGE($B438,4,60,60),""))</f>
        <v/>
      </c>
      <c r="T438" s="68" t="n"/>
      <c r="V438" s="32">
        <f>IF($M438="","",IF($M438=0,"Out of stock",IF(OR($P438="",$Q438=""),"No window",IF(YEAR(TODAY())&lt;$P438,"Too young",IF(YEAR(TODAY())&gt;$Q438,"Past peak",IF(YEAR(TODAY())=$Q438,"Drink now","Ready"))))))</f>
        <v/>
      </c>
    </row>
    <row r="439">
      <c r="A439" s="32">
        <f>IF($B439="","",IFERROR(IMAGE($B439,4,60,60),""))</f>
        <v/>
      </c>
      <c r="T439" s="68" t="n"/>
      <c r="V439" s="32">
        <f>IF($M439="","",IF($M439=0,"Out of stock",IF(OR($P439="",$Q439=""),"No window",IF(YEAR(TODAY())&lt;$P439,"Too young",IF(YEAR(TODAY())&gt;$Q439,"Past peak",IF(YEAR(TODAY())=$Q439,"Drink now","Ready"))))))</f>
        <v/>
      </c>
    </row>
    <row r="440">
      <c r="A440" s="32">
        <f>IF($B440="","",IFERROR(IMAGE($B440,4,60,60),""))</f>
        <v/>
      </c>
      <c r="T440" s="68" t="n"/>
      <c r="V440" s="32">
        <f>IF($M440="","",IF($M440=0,"Out of stock",IF(OR($P440="",$Q440=""),"No window",IF(YEAR(TODAY())&lt;$P440,"Too young",IF(YEAR(TODAY())&gt;$Q440,"Past peak",IF(YEAR(TODAY())=$Q440,"Drink now","Ready"))))))</f>
        <v/>
      </c>
    </row>
    <row r="441">
      <c r="A441" s="32">
        <f>IF($B441="","",IFERROR(IMAGE($B441,4,60,60),""))</f>
        <v/>
      </c>
      <c r="T441" s="68" t="n"/>
      <c r="V441" s="32">
        <f>IF($M441="","",IF($M441=0,"Out of stock",IF(OR($P441="",$Q441=""),"No window",IF(YEAR(TODAY())&lt;$P441,"Too young",IF(YEAR(TODAY())&gt;$Q441,"Past peak",IF(YEAR(TODAY())=$Q441,"Drink now","Ready"))))))</f>
        <v/>
      </c>
    </row>
    <row r="442">
      <c r="A442" s="32">
        <f>IF($B442="","",IFERROR(IMAGE($B442,4,60,60),""))</f>
        <v/>
      </c>
      <c r="T442" s="68" t="n"/>
      <c r="V442" s="32">
        <f>IF($M442="","",IF($M442=0,"Out of stock",IF(OR($P442="",$Q442=""),"No window",IF(YEAR(TODAY())&lt;$P442,"Too young",IF(YEAR(TODAY())&gt;$Q442,"Past peak",IF(YEAR(TODAY())=$Q442,"Drink now","Ready"))))))</f>
        <v/>
      </c>
    </row>
    <row r="443">
      <c r="A443" s="32">
        <f>IF($B443="","",IFERROR(IMAGE($B443,4,60,60),""))</f>
        <v/>
      </c>
      <c r="T443" s="68" t="n"/>
      <c r="V443" s="32">
        <f>IF($M443="","",IF($M443=0,"Out of stock",IF(OR($P443="",$Q443=""),"No window",IF(YEAR(TODAY())&lt;$P443,"Too young",IF(YEAR(TODAY())&gt;$Q443,"Past peak",IF(YEAR(TODAY())=$Q443,"Drink now","Ready"))))))</f>
        <v/>
      </c>
    </row>
    <row r="444">
      <c r="A444" s="32">
        <f>IF($B444="","",IFERROR(IMAGE($B444,4,60,60),""))</f>
        <v/>
      </c>
      <c r="T444" s="68" t="n"/>
      <c r="V444" s="32">
        <f>IF($M444="","",IF($M444=0,"Out of stock",IF(OR($P444="",$Q444=""),"No window",IF(YEAR(TODAY())&lt;$P444,"Too young",IF(YEAR(TODAY())&gt;$Q444,"Past peak",IF(YEAR(TODAY())=$Q444,"Drink now","Ready"))))))</f>
        <v/>
      </c>
    </row>
    <row r="445">
      <c r="A445" s="32">
        <f>IF($B445="","",IFERROR(IMAGE($B445,4,60,60),""))</f>
        <v/>
      </c>
      <c r="T445" s="68" t="n"/>
      <c r="V445" s="32">
        <f>IF($M445="","",IF($M445=0,"Out of stock",IF(OR($P445="",$Q445=""),"No window",IF(YEAR(TODAY())&lt;$P445,"Too young",IF(YEAR(TODAY())&gt;$Q445,"Past peak",IF(YEAR(TODAY())=$Q445,"Drink now","Ready"))))))</f>
        <v/>
      </c>
    </row>
    <row r="446">
      <c r="A446" s="32">
        <f>IF($B446="","",IFERROR(IMAGE($B446,4,60,60),""))</f>
        <v/>
      </c>
      <c r="T446" s="68" t="n"/>
      <c r="V446" s="32">
        <f>IF($M446="","",IF($M446=0,"Out of stock",IF(OR($P446="",$Q446=""),"No window",IF(YEAR(TODAY())&lt;$P446,"Too young",IF(YEAR(TODAY())&gt;$Q446,"Past peak",IF(YEAR(TODAY())=$Q446,"Drink now","Ready"))))))</f>
        <v/>
      </c>
    </row>
    <row r="447">
      <c r="A447" s="32">
        <f>IF($B447="","",IFERROR(IMAGE($B447,4,60,60),""))</f>
        <v/>
      </c>
      <c r="T447" s="68" t="n"/>
      <c r="V447" s="32">
        <f>IF($M447="","",IF($M447=0,"Out of stock",IF(OR($P447="",$Q447=""),"No window",IF(YEAR(TODAY())&lt;$P447,"Too young",IF(YEAR(TODAY())&gt;$Q447,"Past peak",IF(YEAR(TODAY())=$Q447,"Drink now","Ready"))))))</f>
        <v/>
      </c>
    </row>
    <row r="448">
      <c r="A448" s="32">
        <f>IF($B448="","",IFERROR(IMAGE($B448,4,60,60),""))</f>
        <v/>
      </c>
      <c r="T448" s="68" t="n"/>
      <c r="V448" s="32">
        <f>IF($M448="","",IF($M448=0,"Out of stock",IF(OR($P448="",$Q448=""),"No window",IF(YEAR(TODAY())&lt;$P448,"Too young",IF(YEAR(TODAY())&gt;$Q448,"Past peak",IF(YEAR(TODAY())=$Q448,"Drink now","Ready"))))))</f>
        <v/>
      </c>
    </row>
    <row r="449">
      <c r="A449" s="32">
        <f>IF($B449="","",IFERROR(IMAGE($B449,4,60,60),""))</f>
        <v/>
      </c>
      <c r="T449" s="68" t="n"/>
      <c r="V449" s="32">
        <f>IF($M449="","",IF($M449=0,"Out of stock",IF(OR($P449="",$Q449=""),"No window",IF(YEAR(TODAY())&lt;$P449,"Too young",IF(YEAR(TODAY())&gt;$Q449,"Past peak",IF(YEAR(TODAY())=$Q449,"Drink now","Ready"))))))</f>
        <v/>
      </c>
    </row>
    <row r="450">
      <c r="A450" s="32">
        <f>IF($B450="","",IFERROR(IMAGE($B450,4,60,60),""))</f>
        <v/>
      </c>
      <c r="T450" s="68" t="n"/>
      <c r="V450" s="32">
        <f>IF($M450="","",IF($M450=0,"Out of stock",IF(OR($P450="",$Q450=""),"No window",IF(YEAR(TODAY())&lt;$P450,"Too young",IF(YEAR(TODAY())&gt;$Q450,"Past peak",IF(YEAR(TODAY())=$Q450,"Drink now","Ready"))))))</f>
        <v/>
      </c>
    </row>
    <row r="451">
      <c r="A451" s="32">
        <f>IF($B451="","",IFERROR(IMAGE($B451,4,60,60),""))</f>
        <v/>
      </c>
      <c r="T451" s="68" t="n"/>
      <c r="V451" s="32">
        <f>IF($M451="","",IF($M451=0,"Out of stock",IF(OR($P451="",$Q451=""),"No window",IF(YEAR(TODAY())&lt;$P451,"Too young",IF(YEAR(TODAY())&gt;$Q451,"Past peak",IF(YEAR(TODAY())=$Q451,"Drink now","Ready"))))))</f>
        <v/>
      </c>
    </row>
    <row r="452">
      <c r="A452" s="32">
        <f>IF($B452="","",IFERROR(IMAGE($B452,4,60,60),""))</f>
        <v/>
      </c>
      <c r="T452" s="68" t="n"/>
      <c r="V452" s="32">
        <f>IF($M452="","",IF($M452=0,"Out of stock",IF(OR($P452="",$Q452=""),"No window",IF(YEAR(TODAY())&lt;$P452,"Too young",IF(YEAR(TODAY())&gt;$Q452,"Past peak",IF(YEAR(TODAY())=$Q452,"Drink now","Ready"))))))</f>
        <v/>
      </c>
    </row>
    <row r="453">
      <c r="A453" s="32">
        <f>IF($B453="","",IFERROR(IMAGE($B453,4,60,60),""))</f>
        <v/>
      </c>
      <c r="T453" s="68" t="n"/>
      <c r="V453" s="32">
        <f>IF($M453="","",IF($M453=0,"Out of stock",IF(OR($P453="",$Q453=""),"No window",IF(YEAR(TODAY())&lt;$P453,"Too young",IF(YEAR(TODAY())&gt;$Q453,"Past peak",IF(YEAR(TODAY())=$Q453,"Drink now","Ready"))))))</f>
        <v/>
      </c>
    </row>
    <row r="454">
      <c r="A454" s="32">
        <f>IF($B454="","",IFERROR(IMAGE($B454,4,60,60),""))</f>
        <v/>
      </c>
      <c r="T454" s="68" t="n"/>
      <c r="V454" s="32">
        <f>IF($M454="","",IF($M454=0,"Out of stock",IF(OR($P454="",$Q454=""),"No window",IF(YEAR(TODAY())&lt;$P454,"Too young",IF(YEAR(TODAY())&gt;$Q454,"Past peak",IF(YEAR(TODAY())=$Q454,"Drink now","Ready"))))))</f>
        <v/>
      </c>
    </row>
    <row r="455">
      <c r="A455" s="32">
        <f>IF($B455="","",IFERROR(IMAGE($B455,4,60,60),""))</f>
        <v/>
      </c>
      <c r="T455" s="68" t="n"/>
      <c r="V455" s="32">
        <f>IF($M455="","",IF($M455=0,"Out of stock",IF(OR($P455="",$Q455=""),"No window",IF(YEAR(TODAY())&lt;$P455,"Too young",IF(YEAR(TODAY())&gt;$Q455,"Past peak",IF(YEAR(TODAY())=$Q455,"Drink now","Ready"))))))</f>
        <v/>
      </c>
    </row>
    <row r="456">
      <c r="A456" s="32">
        <f>IF($B456="","",IFERROR(IMAGE($B456,4,60,60),""))</f>
        <v/>
      </c>
      <c r="T456" s="68" t="n"/>
      <c r="V456" s="32">
        <f>IF($M456="","",IF($M456=0,"Out of stock",IF(OR($P456="",$Q456=""),"No window",IF(YEAR(TODAY())&lt;$P456,"Too young",IF(YEAR(TODAY())&gt;$Q456,"Past peak",IF(YEAR(TODAY())=$Q456,"Drink now","Ready"))))))</f>
        <v/>
      </c>
    </row>
    <row r="457">
      <c r="A457" s="32">
        <f>IF($B457="","",IFERROR(IMAGE($B457,4,60,60),""))</f>
        <v/>
      </c>
      <c r="T457" s="68" t="n"/>
      <c r="V457" s="32">
        <f>IF($M457="","",IF($M457=0,"Out of stock",IF(OR($P457="",$Q457=""),"No window",IF(YEAR(TODAY())&lt;$P457,"Too young",IF(YEAR(TODAY())&gt;$Q457,"Past peak",IF(YEAR(TODAY())=$Q457,"Drink now","Ready"))))))</f>
        <v/>
      </c>
    </row>
    <row r="458">
      <c r="A458" s="32">
        <f>IF($B458="","",IFERROR(IMAGE($B458,4,60,60),""))</f>
        <v/>
      </c>
      <c r="T458" s="68" t="n"/>
      <c r="V458" s="32">
        <f>IF($M458="","",IF($M458=0,"Out of stock",IF(OR($P458="",$Q458=""),"No window",IF(YEAR(TODAY())&lt;$P458,"Too young",IF(YEAR(TODAY())&gt;$Q458,"Past peak",IF(YEAR(TODAY())=$Q458,"Drink now","Ready"))))))</f>
        <v/>
      </c>
    </row>
    <row r="459">
      <c r="A459" s="32">
        <f>IF($B459="","",IFERROR(IMAGE($B459,4,60,60),""))</f>
        <v/>
      </c>
      <c r="T459" s="68" t="n"/>
      <c r="V459" s="32">
        <f>IF($M459="","",IF($M459=0,"Out of stock",IF(OR($P459="",$Q459=""),"No window",IF(YEAR(TODAY())&lt;$P459,"Too young",IF(YEAR(TODAY())&gt;$Q459,"Past peak",IF(YEAR(TODAY())=$Q459,"Drink now","Ready"))))))</f>
        <v/>
      </c>
    </row>
    <row r="460">
      <c r="A460" s="32">
        <f>IF($B460="","",IFERROR(IMAGE($B460,4,60,60),""))</f>
        <v/>
      </c>
      <c r="T460" s="68" t="n"/>
      <c r="V460" s="32">
        <f>IF($M460="","",IF($M460=0,"Out of stock",IF(OR($P460="",$Q460=""),"No window",IF(YEAR(TODAY())&lt;$P460,"Too young",IF(YEAR(TODAY())&gt;$Q460,"Past peak",IF(YEAR(TODAY())=$Q460,"Drink now","Ready"))))))</f>
        <v/>
      </c>
    </row>
    <row r="461">
      <c r="A461" s="32">
        <f>IF($B461="","",IFERROR(IMAGE($B461,4,60,60),""))</f>
        <v/>
      </c>
      <c r="T461" s="68" t="n"/>
      <c r="V461" s="32">
        <f>IF($M461="","",IF($M461=0,"Out of stock",IF(OR($P461="",$Q461=""),"No window",IF(YEAR(TODAY())&lt;$P461,"Too young",IF(YEAR(TODAY())&gt;$Q461,"Past peak",IF(YEAR(TODAY())=$Q461,"Drink now","Ready"))))))</f>
        <v/>
      </c>
    </row>
    <row r="462">
      <c r="A462" s="32">
        <f>IF($B462="","",IFERROR(IMAGE($B462,4,60,60),""))</f>
        <v/>
      </c>
      <c r="T462" s="68" t="n"/>
      <c r="V462" s="32">
        <f>IF($M462="","",IF($M462=0,"Out of stock",IF(OR($P462="",$Q462=""),"No window",IF(YEAR(TODAY())&lt;$P462,"Too young",IF(YEAR(TODAY())&gt;$Q462,"Past peak",IF(YEAR(TODAY())=$Q462,"Drink now","Ready"))))))</f>
        <v/>
      </c>
    </row>
    <row r="463">
      <c r="A463" s="32">
        <f>IF($B463="","",IFERROR(IMAGE($B463,4,60,60),""))</f>
        <v/>
      </c>
      <c r="T463" s="68" t="n"/>
      <c r="V463" s="32">
        <f>IF($M463="","",IF($M463=0,"Out of stock",IF(OR($P463="",$Q463=""),"No window",IF(YEAR(TODAY())&lt;$P463,"Too young",IF(YEAR(TODAY())&gt;$Q463,"Past peak",IF(YEAR(TODAY())=$Q463,"Drink now","Ready"))))))</f>
        <v/>
      </c>
    </row>
    <row r="464">
      <c r="A464" s="32">
        <f>IF($B464="","",IFERROR(IMAGE($B464,4,60,60),""))</f>
        <v/>
      </c>
      <c r="T464" s="68" t="n"/>
      <c r="V464" s="32">
        <f>IF($M464="","",IF($M464=0,"Out of stock",IF(OR($P464="",$Q464=""),"No window",IF(YEAR(TODAY())&lt;$P464,"Too young",IF(YEAR(TODAY())&gt;$Q464,"Past peak",IF(YEAR(TODAY())=$Q464,"Drink now","Ready"))))))</f>
        <v/>
      </c>
    </row>
    <row r="465">
      <c r="A465" s="32">
        <f>IF($B465="","",IFERROR(IMAGE($B465,4,60,60),""))</f>
        <v/>
      </c>
      <c r="T465" s="68" t="n"/>
      <c r="V465" s="32">
        <f>IF($M465="","",IF($M465=0,"Out of stock",IF(OR($P465="",$Q465=""),"No window",IF(YEAR(TODAY())&lt;$P465,"Too young",IF(YEAR(TODAY())&gt;$Q465,"Past peak",IF(YEAR(TODAY())=$Q465,"Drink now","Ready"))))))</f>
        <v/>
      </c>
    </row>
    <row r="466">
      <c r="A466" s="32">
        <f>IF($B466="","",IFERROR(IMAGE($B466,4,60,60),""))</f>
        <v/>
      </c>
      <c r="T466" s="68" t="n"/>
      <c r="V466" s="32">
        <f>IF($M466="","",IF($M466=0,"Out of stock",IF(OR($P466="",$Q466=""),"No window",IF(YEAR(TODAY())&lt;$P466,"Too young",IF(YEAR(TODAY())&gt;$Q466,"Past peak",IF(YEAR(TODAY())=$Q466,"Drink now","Ready"))))))</f>
        <v/>
      </c>
    </row>
    <row r="467">
      <c r="A467" s="32">
        <f>IF($B467="","",IFERROR(IMAGE($B467,4,60,60),""))</f>
        <v/>
      </c>
      <c r="T467" s="68" t="n"/>
      <c r="V467" s="32">
        <f>IF($M467="","",IF($M467=0,"Out of stock",IF(OR($P467="",$Q467=""),"No window",IF(YEAR(TODAY())&lt;$P467,"Too young",IF(YEAR(TODAY())&gt;$Q467,"Past peak",IF(YEAR(TODAY())=$Q467,"Drink now","Ready"))))))</f>
        <v/>
      </c>
    </row>
    <row r="468">
      <c r="A468" s="32">
        <f>IF($B468="","",IFERROR(IMAGE($B468,4,60,60),""))</f>
        <v/>
      </c>
      <c r="T468" s="68" t="n"/>
      <c r="V468" s="32">
        <f>IF($M468="","",IF($M468=0,"Out of stock",IF(OR($P468="",$Q468=""),"No window",IF(YEAR(TODAY())&lt;$P468,"Too young",IF(YEAR(TODAY())&gt;$Q468,"Past peak",IF(YEAR(TODAY())=$Q468,"Drink now","Ready"))))))</f>
        <v/>
      </c>
    </row>
    <row r="469">
      <c r="A469" s="32">
        <f>IF($B469="","",IFERROR(IMAGE($B469,4,60,60),""))</f>
        <v/>
      </c>
      <c r="T469" s="68" t="n"/>
      <c r="V469" s="32">
        <f>IF($M469="","",IF($M469=0,"Out of stock",IF(OR($P469="",$Q469=""),"No window",IF(YEAR(TODAY())&lt;$P469,"Too young",IF(YEAR(TODAY())&gt;$Q469,"Past peak",IF(YEAR(TODAY())=$Q469,"Drink now","Ready"))))))</f>
        <v/>
      </c>
    </row>
    <row r="470">
      <c r="A470" s="32">
        <f>IF($B470="","",IFERROR(IMAGE($B470,4,60,60),""))</f>
        <v/>
      </c>
      <c r="T470" s="68" t="n"/>
      <c r="V470" s="32">
        <f>IF($M470="","",IF($M470=0,"Out of stock",IF(OR($P470="",$Q470=""),"No window",IF(YEAR(TODAY())&lt;$P470,"Too young",IF(YEAR(TODAY())&gt;$Q470,"Past peak",IF(YEAR(TODAY())=$Q470,"Drink now","Ready"))))))</f>
        <v/>
      </c>
    </row>
    <row r="471">
      <c r="A471" s="32">
        <f>IF($B471="","",IFERROR(IMAGE($B471,4,60,60),""))</f>
        <v/>
      </c>
      <c r="T471" s="68" t="n"/>
      <c r="V471" s="32">
        <f>IF($M471="","",IF($M471=0,"Out of stock",IF(OR($P471="",$Q471=""),"No window",IF(YEAR(TODAY())&lt;$P471,"Too young",IF(YEAR(TODAY())&gt;$Q471,"Past peak",IF(YEAR(TODAY())=$Q471,"Drink now","Ready"))))))</f>
        <v/>
      </c>
    </row>
    <row r="472">
      <c r="A472" s="32">
        <f>IF($B472="","",IFERROR(IMAGE($B472,4,60,60),""))</f>
        <v/>
      </c>
      <c r="T472" s="68" t="n"/>
      <c r="V472" s="32">
        <f>IF($M472="","",IF($M472=0,"Out of stock",IF(OR($P472="",$Q472=""),"No window",IF(YEAR(TODAY())&lt;$P472,"Too young",IF(YEAR(TODAY())&gt;$Q472,"Past peak",IF(YEAR(TODAY())=$Q472,"Drink now","Ready"))))))</f>
        <v/>
      </c>
    </row>
    <row r="473">
      <c r="A473" s="32">
        <f>IF($B473="","",IFERROR(IMAGE($B473,4,60,60),""))</f>
        <v/>
      </c>
      <c r="T473" s="68" t="n"/>
      <c r="V473" s="32">
        <f>IF($M473="","",IF($M473=0,"Out of stock",IF(OR($P473="",$Q473=""),"No window",IF(YEAR(TODAY())&lt;$P473,"Too young",IF(YEAR(TODAY())&gt;$Q473,"Past peak",IF(YEAR(TODAY())=$Q473,"Drink now","Ready"))))))</f>
        <v/>
      </c>
    </row>
    <row r="474">
      <c r="A474" s="32">
        <f>IF($B474="","",IFERROR(IMAGE($B474,4,60,60),""))</f>
        <v/>
      </c>
      <c r="T474" s="68" t="n"/>
      <c r="V474" s="32">
        <f>IF($M474="","",IF($M474=0,"Out of stock",IF(OR($P474="",$Q474=""),"No window",IF(YEAR(TODAY())&lt;$P474,"Too young",IF(YEAR(TODAY())&gt;$Q474,"Past peak",IF(YEAR(TODAY())=$Q474,"Drink now","Ready"))))))</f>
        <v/>
      </c>
    </row>
    <row r="475">
      <c r="A475" s="32">
        <f>IF($B475="","",IFERROR(IMAGE($B475,4,60,60),""))</f>
        <v/>
      </c>
      <c r="T475" s="68" t="n"/>
      <c r="V475" s="32">
        <f>IF($M475="","",IF($M475=0,"Out of stock",IF(OR($P475="",$Q475=""),"No window",IF(YEAR(TODAY())&lt;$P475,"Too young",IF(YEAR(TODAY())&gt;$Q475,"Past peak",IF(YEAR(TODAY())=$Q475,"Drink now","Ready"))))))</f>
        <v/>
      </c>
    </row>
    <row r="476">
      <c r="A476" s="32">
        <f>IF($B476="","",IFERROR(IMAGE($B476,4,60,60),""))</f>
        <v/>
      </c>
      <c r="T476" s="68" t="n"/>
      <c r="V476" s="32">
        <f>IF($M476="","",IF($M476=0,"Out of stock",IF(OR($P476="",$Q476=""),"No window",IF(YEAR(TODAY())&lt;$P476,"Too young",IF(YEAR(TODAY())&gt;$Q476,"Past peak",IF(YEAR(TODAY())=$Q476,"Drink now","Ready"))))))</f>
        <v/>
      </c>
    </row>
    <row r="477">
      <c r="A477" s="32">
        <f>IF($B477="","",IFERROR(IMAGE($B477,4,60,60),""))</f>
        <v/>
      </c>
      <c r="T477" s="68" t="n"/>
      <c r="V477" s="32">
        <f>IF($M477="","",IF($M477=0,"Out of stock",IF(OR($P477="",$Q477=""),"No window",IF(YEAR(TODAY())&lt;$P477,"Too young",IF(YEAR(TODAY())&gt;$Q477,"Past peak",IF(YEAR(TODAY())=$Q477,"Drink now","Ready"))))))</f>
        <v/>
      </c>
    </row>
    <row r="478">
      <c r="A478" s="32">
        <f>IF($B478="","",IFERROR(IMAGE($B478,4,60,60),""))</f>
        <v/>
      </c>
      <c r="T478" s="68" t="n"/>
      <c r="V478" s="32">
        <f>IF($M478="","",IF($M478=0,"Out of stock",IF(OR($P478="",$Q478=""),"No window",IF(YEAR(TODAY())&lt;$P478,"Too young",IF(YEAR(TODAY())&gt;$Q478,"Past peak",IF(YEAR(TODAY())=$Q478,"Drink now","Ready"))))))</f>
        <v/>
      </c>
    </row>
    <row r="479">
      <c r="A479" s="32">
        <f>IF($B479="","",IFERROR(IMAGE($B479,4,60,60),""))</f>
        <v/>
      </c>
      <c r="T479" s="68" t="n"/>
      <c r="V479" s="32">
        <f>IF($M479="","",IF($M479=0,"Out of stock",IF(OR($P479="",$Q479=""),"No window",IF(YEAR(TODAY())&lt;$P479,"Too young",IF(YEAR(TODAY())&gt;$Q479,"Past peak",IF(YEAR(TODAY())=$Q479,"Drink now","Ready"))))))</f>
        <v/>
      </c>
    </row>
    <row r="480">
      <c r="A480" s="32">
        <f>IF($B480="","",IFERROR(IMAGE($B480,4,60,60),""))</f>
        <v/>
      </c>
      <c r="T480" s="68" t="n"/>
      <c r="V480" s="32">
        <f>IF($M480="","",IF($M480=0,"Out of stock",IF(OR($P480="",$Q480=""),"No window",IF(YEAR(TODAY())&lt;$P480,"Too young",IF(YEAR(TODAY())&gt;$Q480,"Past peak",IF(YEAR(TODAY())=$Q480,"Drink now","Ready"))))))</f>
        <v/>
      </c>
    </row>
    <row r="481">
      <c r="A481" s="32">
        <f>IF($B481="","",IFERROR(IMAGE($B481,4,60,60),""))</f>
        <v/>
      </c>
      <c r="T481" s="68" t="n"/>
      <c r="V481" s="32">
        <f>IF($M481="","",IF($M481=0,"Out of stock",IF(OR($P481="",$Q481=""),"No window",IF(YEAR(TODAY())&lt;$P481,"Too young",IF(YEAR(TODAY())&gt;$Q481,"Past peak",IF(YEAR(TODAY())=$Q481,"Drink now","Ready"))))))</f>
        <v/>
      </c>
    </row>
    <row r="482">
      <c r="A482" s="32">
        <f>IF($B482="","",IFERROR(IMAGE($B482,4,60,60),""))</f>
        <v/>
      </c>
      <c r="T482" s="68" t="n"/>
      <c r="V482" s="32">
        <f>IF($M482="","",IF($M482=0,"Out of stock",IF(OR($P482="",$Q482=""),"No window",IF(YEAR(TODAY())&lt;$P482,"Too young",IF(YEAR(TODAY())&gt;$Q482,"Past peak",IF(YEAR(TODAY())=$Q482,"Drink now","Ready"))))))</f>
        <v/>
      </c>
    </row>
    <row r="483">
      <c r="A483" s="32">
        <f>IF($B483="","",IFERROR(IMAGE($B483,4,60,60),""))</f>
        <v/>
      </c>
      <c r="T483" s="68" t="n"/>
      <c r="V483" s="32">
        <f>IF($M483="","",IF($M483=0,"Out of stock",IF(OR($P483="",$Q483=""),"No window",IF(YEAR(TODAY())&lt;$P483,"Too young",IF(YEAR(TODAY())&gt;$Q483,"Past peak",IF(YEAR(TODAY())=$Q483,"Drink now","Ready"))))))</f>
        <v/>
      </c>
    </row>
    <row r="484">
      <c r="A484" s="32">
        <f>IF($B484="","",IFERROR(IMAGE($B484,4,60,60),""))</f>
        <v/>
      </c>
      <c r="T484" s="68" t="n"/>
      <c r="V484" s="32">
        <f>IF($M484="","",IF($M484=0,"Out of stock",IF(OR($P484="",$Q484=""),"No window",IF(YEAR(TODAY())&lt;$P484,"Too young",IF(YEAR(TODAY())&gt;$Q484,"Past peak",IF(YEAR(TODAY())=$Q484,"Drink now","Ready"))))))</f>
        <v/>
      </c>
    </row>
    <row r="485">
      <c r="A485" s="32">
        <f>IF($B485="","",IFERROR(IMAGE($B485,4,60,60),""))</f>
        <v/>
      </c>
      <c r="T485" s="68" t="n"/>
      <c r="V485" s="32">
        <f>IF($M485="","",IF($M485=0,"Out of stock",IF(OR($P485="",$Q485=""),"No window",IF(YEAR(TODAY())&lt;$P485,"Too young",IF(YEAR(TODAY())&gt;$Q485,"Past peak",IF(YEAR(TODAY())=$Q485,"Drink now","Ready"))))))</f>
        <v/>
      </c>
    </row>
    <row r="486">
      <c r="A486" s="32">
        <f>IF($B486="","",IFERROR(IMAGE($B486,4,60,60),""))</f>
        <v/>
      </c>
      <c r="T486" s="68" t="n"/>
      <c r="V486" s="32">
        <f>IF($M486="","",IF($M486=0,"Out of stock",IF(OR($P486="",$Q486=""),"No window",IF(YEAR(TODAY())&lt;$P486,"Too young",IF(YEAR(TODAY())&gt;$Q486,"Past peak",IF(YEAR(TODAY())=$Q486,"Drink now","Ready"))))))</f>
        <v/>
      </c>
    </row>
    <row r="487">
      <c r="A487" s="32">
        <f>IF($B487="","",IFERROR(IMAGE($B487,4,60,60),""))</f>
        <v/>
      </c>
      <c r="T487" s="68" t="n"/>
      <c r="V487" s="32">
        <f>IF($M487="","",IF($M487=0,"Out of stock",IF(OR($P487="",$Q487=""),"No window",IF(YEAR(TODAY())&lt;$P487,"Too young",IF(YEAR(TODAY())&gt;$Q487,"Past peak",IF(YEAR(TODAY())=$Q487,"Drink now","Ready"))))))</f>
        <v/>
      </c>
    </row>
    <row r="488">
      <c r="A488" s="32">
        <f>IF($B488="","",IFERROR(IMAGE($B488,4,60,60),""))</f>
        <v/>
      </c>
      <c r="T488" s="68" t="n"/>
      <c r="V488" s="32">
        <f>IF($M488="","",IF($M488=0,"Out of stock",IF(OR($P488="",$Q488=""),"No window",IF(YEAR(TODAY())&lt;$P488,"Too young",IF(YEAR(TODAY())&gt;$Q488,"Past peak",IF(YEAR(TODAY())=$Q488,"Drink now","Ready"))))))</f>
        <v/>
      </c>
    </row>
    <row r="489">
      <c r="A489" s="32">
        <f>IF($B489="","",IFERROR(IMAGE($B489,4,60,60),""))</f>
        <v/>
      </c>
      <c r="T489" s="68" t="n"/>
      <c r="V489" s="32">
        <f>IF($M489="","",IF($M489=0,"Out of stock",IF(OR($P489="",$Q489=""),"No window",IF(YEAR(TODAY())&lt;$P489,"Too young",IF(YEAR(TODAY())&gt;$Q489,"Past peak",IF(YEAR(TODAY())=$Q489,"Drink now","Ready"))))))</f>
        <v/>
      </c>
    </row>
    <row r="490">
      <c r="A490" s="32">
        <f>IF($B490="","",IFERROR(IMAGE($B490,4,60,60),""))</f>
        <v/>
      </c>
      <c r="T490" s="68" t="n"/>
      <c r="V490" s="32">
        <f>IF($M490="","",IF($M490=0,"Out of stock",IF(OR($P490="",$Q490=""),"No window",IF(YEAR(TODAY())&lt;$P490,"Too young",IF(YEAR(TODAY())&gt;$Q490,"Past peak",IF(YEAR(TODAY())=$Q490,"Drink now","Ready"))))))</f>
        <v/>
      </c>
    </row>
    <row r="491">
      <c r="A491" s="32">
        <f>IF($B491="","",IFERROR(IMAGE($B491,4,60,60),""))</f>
        <v/>
      </c>
      <c r="T491" s="68" t="n"/>
      <c r="V491" s="32">
        <f>IF($M491="","",IF($M491=0,"Out of stock",IF(OR($P491="",$Q491=""),"No window",IF(YEAR(TODAY())&lt;$P491,"Too young",IF(YEAR(TODAY())&gt;$Q491,"Past peak",IF(YEAR(TODAY())=$Q491,"Drink now","Ready"))))))</f>
        <v/>
      </c>
    </row>
    <row r="492">
      <c r="A492" s="32">
        <f>IF($B492="","",IFERROR(IMAGE($B492,4,60,60),""))</f>
        <v/>
      </c>
      <c r="T492" s="68" t="n"/>
      <c r="V492" s="32">
        <f>IF($M492="","",IF($M492=0,"Out of stock",IF(OR($P492="",$Q492=""),"No window",IF(YEAR(TODAY())&lt;$P492,"Too young",IF(YEAR(TODAY())&gt;$Q492,"Past peak",IF(YEAR(TODAY())=$Q492,"Drink now","Ready"))))))</f>
        <v/>
      </c>
    </row>
    <row r="493">
      <c r="A493" s="32">
        <f>IF($B493="","",IFERROR(IMAGE($B493,4,60,60),""))</f>
        <v/>
      </c>
      <c r="T493" s="68" t="n"/>
      <c r="V493" s="32">
        <f>IF($M493="","",IF($M493=0,"Out of stock",IF(OR($P493="",$Q493=""),"No window",IF(YEAR(TODAY())&lt;$P493,"Too young",IF(YEAR(TODAY())&gt;$Q493,"Past peak",IF(YEAR(TODAY())=$Q493,"Drink now","Ready"))))))</f>
        <v/>
      </c>
    </row>
    <row r="494">
      <c r="A494" s="32">
        <f>IF($B494="","",IFERROR(IMAGE($B494,4,60,60),""))</f>
        <v/>
      </c>
      <c r="T494" s="68" t="n"/>
      <c r="V494" s="32">
        <f>IF($M494="","",IF($M494=0,"Out of stock",IF(OR($P494="",$Q494=""),"No window",IF(YEAR(TODAY())&lt;$P494,"Too young",IF(YEAR(TODAY())&gt;$Q494,"Past peak",IF(YEAR(TODAY())=$Q494,"Drink now","Ready"))))))</f>
        <v/>
      </c>
    </row>
    <row r="495">
      <c r="A495" s="32">
        <f>IF($B495="","",IFERROR(IMAGE($B495,4,60,60),""))</f>
        <v/>
      </c>
      <c r="T495" s="68" t="n"/>
      <c r="V495" s="32">
        <f>IF($M495="","",IF($M495=0,"Out of stock",IF(OR($P495="",$Q495=""),"No window",IF(YEAR(TODAY())&lt;$P495,"Too young",IF(YEAR(TODAY())&gt;$Q495,"Past peak",IF(YEAR(TODAY())=$Q495,"Drink now","Ready"))))))</f>
        <v/>
      </c>
    </row>
    <row r="496">
      <c r="A496" s="32">
        <f>IF($B496="","",IFERROR(IMAGE($B496,4,60,60),""))</f>
        <v/>
      </c>
      <c r="T496" s="68" t="n"/>
      <c r="V496" s="32">
        <f>IF($M496="","",IF($M496=0,"Out of stock",IF(OR($P496="",$Q496=""),"No window",IF(YEAR(TODAY())&lt;$P496,"Too young",IF(YEAR(TODAY())&gt;$Q496,"Past peak",IF(YEAR(TODAY())=$Q496,"Drink now","Ready"))))))</f>
        <v/>
      </c>
    </row>
    <row r="497">
      <c r="A497" s="32">
        <f>IF($B497="","",IFERROR(IMAGE($B497,4,60,60),""))</f>
        <v/>
      </c>
      <c r="T497" s="68" t="n"/>
      <c r="V497" s="32">
        <f>IF($M497="","",IF($M497=0,"Out of stock",IF(OR($P497="",$Q497=""),"No window",IF(YEAR(TODAY())&lt;$P497,"Too young",IF(YEAR(TODAY())&gt;$Q497,"Past peak",IF(YEAR(TODAY())=$Q497,"Drink now","Ready"))))))</f>
        <v/>
      </c>
    </row>
    <row r="498">
      <c r="A498" s="32">
        <f>IF($B498="","",IFERROR(IMAGE($B498,4,60,60),""))</f>
        <v/>
      </c>
      <c r="T498" s="68" t="n"/>
      <c r="V498" s="32">
        <f>IF($M498="","",IF($M498=0,"Out of stock",IF(OR($P498="",$Q498=""),"No window",IF(YEAR(TODAY())&lt;$P498,"Too young",IF(YEAR(TODAY())&gt;$Q498,"Past peak",IF(YEAR(TODAY())=$Q498,"Drink now","Ready"))))))</f>
        <v/>
      </c>
    </row>
    <row r="499">
      <c r="A499" s="32">
        <f>IF($B499="","",IFERROR(IMAGE($B499,4,60,60),""))</f>
        <v/>
      </c>
      <c r="T499" s="68" t="n"/>
      <c r="V499" s="32">
        <f>IF($M499="","",IF($M499=0,"Out of stock",IF(OR($P499="",$Q499=""),"No window",IF(YEAR(TODAY())&lt;$P499,"Too young",IF(YEAR(TODAY())&gt;$Q499,"Past peak",IF(YEAR(TODAY())=$Q499,"Drink now","Ready"))))))</f>
        <v/>
      </c>
    </row>
    <row r="500">
      <c r="A500" s="32">
        <f>IF($B500="","",IFERROR(IMAGE($B500,4,60,60),""))</f>
        <v/>
      </c>
      <c r="T500" s="68" t="n"/>
      <c r="V500" s="32">
        <f>IF($M500="","",IF($M500=0,"Out of stock",IF(OR($P500="",$Q500=""),"No window",IF(YEAR(TODAY())&lt;$P500,"Too young",IF(YEAR(TODAY())&gt;$Q500,"Past peak",IF(YEAR(TODAY())=$Q500,"Drink now","Ready"))))))</f>
        <v/>
      </c>
    </row>
    <row r="501">
      <c r="A501" s="32">
        <f>IF($B501="","",IFERROR(IMAGE($B501,4,60,60),""))</f>
        <v/>
      </c>
      <c r="T501" s="68" t="n"/>
      <c r="V501" s="32">
        <f>IF($M501="","",IF($M501=0,"Out of stock",IF(OR($P501="",$Q501=""),"No window",IF(YEAR(TODAY())&lt;$P501,"Too young",IF(YEAR(TODAY())&gt;$Q501,"Past peak",IF(YEAR(TODAY())=$Q501,"Drink now","Ready"))))))</f>
        <v/>
      </c>
    </row>
    <row r="502">
      <c r="A502" s="32">
        <f>IF($B502="","",IFERROR(IMAGE($B502,4,60,60),""))</f>
        <v/>
      </c>
      <c r="T502" s="68" t="n"/>
      <c r="V502" s="32">
        <f>IF($M502="","",IF($M502=0,"Out of stock",IF(OR($P502="",$Q502=""),"No window",IF(YEAR(TODAY())&lt;$P502,"Too young",IF(YEAR(TODAY())&gt;$Q502,"Past peak",IF(YEAR(TODAY())=$Q502,"Drink now","Ready"))))))</f>
        <v/>
      </c>
    </row>
    <row r="503">
      <c r="A503" s="32">
        <f>IF($B503="","",IFERROR(IMAGE($B503,4,60,60),""))</f>
        <v/>
      </c>
      <c r="T503" s="68" t="n"/>
      <c r="V503" s="32">
        <f>IF($M503="","",IF($M503=0,"Out of stock",IF(OR($P503="",$Q503=""),"No window",IF(YEAR(TODAY())&lt;$P503,"Too young",IF(YEAR(TODAY())&gt;$Q503,"Past peak",IF(YEAR(TODAY())=$Q503,"Drink now","Ready"))))))</f>
        <v/>
      </c>
    </row>
    <row r="504">
      <c r="A504" s="32">
        <f>IF($B504="","",IFERROR(IMAGE($B504,4,60,60),""))</f>
        <v/>
      </c>
      <c r="T504" s="68" t="n"/>
      <c r="V504" s="32">
        <f>IF($M504="","",IF($M504=0,"Out of stock",IF(OR($P504="",$Q504=""),"No window",IF(YEAR(TODAY())&lt;$P504,"Too young",IF(YEAR(TODAY())&gt;$Q504,"Past peak",IF(YEAR(TODAY())=$Q504,"Drink now","Ready"))))))</f>
        <v/>
      </c>
    </row>
    <row r="505">
      <c r="A505" s="32">
        <f>IF($B505="","",IFERROR(IMAGE($B505,4,60,60),""))</f>
        <v/>
      </c>
      <c r="T505" s="68" t="n"/>
      <c r="V505" s="32">
        <f>IF($M505="","",IF($M505=0,"Out of stock",IF(OR($P505="",$Q505=""),"No window",IF(YEAR(TODAY())&lt;$P505,"Too young",IF(YEAR(TODAY())&gt;$Q505,"Past peak",IF(YEAR(TODAY())=$Q505,"Drink now","Ready"))))))</f>
        <v/>
      </c>
    </row>
    <row r="506">
      <c r="A506" s="32">
        <f>IF($B506="","",IFERROR(IMAGE($B506,4,60,60),""))</f>
        <v/>
      </c>
      <c r="T506" s="68" t="n"/>
      <c r="V506" s="32">
        <f>IF($M506="","",IF($M506=0,"Out of stock",IF(OR($P506="",$Q506=""),"No window",IF(YEAR(TODAY())&lt;$P506,"Too young",IF(YEAR(TODAY())&gt;$Q506,"Past peak",IF(YEAR(TODAY())=$Q506,"Drink now","Ready"))))))</f>
        <v/>
      </c>
    </row>
    <row r="507">
      <c r="A507" s="32">
        <f>IF($B507="","",IFERROR(IMAGE($B507,4,60,60),""))</f>
        <v/>
      </c>
      <c r="T507" s="68" t="n"/>
      <c r="V507" s="32">
        <f>IF($M507="","",IF($M507=0,"Out of stock",IF(OR($P507="",$Q507=""),"No window",IF(YEAR(TODAY())&lt;$P507,"Too young",IF(YEAR(TODAY())&gt;$Q507,"Past peak",IF(YEAR(TODAY())=$Q507,"Drink now","Ready"))))))</f>
        <v/>
      </c>
    </row>
    <row r="508">
      <c r="A508" s="32">
        <f>IF($B508="","",IFERROR(IMAGE($B508,4,60,60),""))</f>
        <v/>
      </c>
      <c r="T508" s="68" t="n"/>
      <c r="V508" s="32">
        <f>IF($M508="","",IF($M508=0,"Out of stock",IF(OR($P508="",$Q508=""),"No window",IF(YEAR(TODAY())&lt;$P508,"Too young",IF(YEAR(TODAY())&gt;$Q508,"Past peak",IF(YEAR(TODAY())=$Q508,"Drink now","Ready"))))))</f>
        <v/>
      </c>
    </row>
    <row r="509">
      <c r="A509" s="32">
        <f>IF($B509="","",IFERROR(IMAGE($B509,4,60,60),""))</f>
        <v/>
      </c>
      <c r="T509" s="68" t="n"/>
      <c r="V509" s="32">
        <f>IF($M509="","",IF($M509=0,"Out of stock",IF(OR($P509="",$Q509=""),"No window",IF(YEAR(TODAY())&lt;$P509,"Too young",IF(YEAR(TODAY())&gt;$Q509,"Past peak",IF(YEAR(TODAY())=$Q509,"Drink now","Ready"))))))</f>
        <v/>
      </c>
    </row>
    <row r="510">
      <c r="A510" s="32">
        <f>IF($B510="","",IFERROR(IMAGE($B510,4,60,60),""))</f>
        <v/>
      </c>
      <c r="T510" s="68" t="n"/>
      <c r="V510" s="32">
        <f>IF($M510="","",IF($M510=0,"Out of stock",IF(OR($P510="",$Q510=""),"No window",IF(YEAR(TODAY())&lt;$P510,"Too young",IF(YEAR(TODAY())&gt;$Q510,"Past peak",IF(YEAR(TODAY())=$Q510,"Drink now","Ready"))))))</f>
        <v/>
      </c>
    </row>
    <row r="511">
      <c r="A511" s="32">
        <f>IF($B511="","",IFERROR(IMAGE($B511,4,60,60),""))</f>
        <v/>
      </c>
      <c r="T511" s="68" t="n"/>
      <c r="V511" s="32">
        <f>IF($M511="","",IF($M511=0,"Out of stock",IF(OR($P511="",$Q511=""),"No window",IF(YEAR(TODAY())&lt;$P511,"Too young",IF(YEAR(TODAY())&gt;$Q511,"Past peak",IF(YEAR(TODAY())=$Q511,"Drink now","Ready"))))))</f>
        <v/>
      </c>
    </row>
    <row r="512">
      <c r="A512" s="32">
        <f>IF($B512="","",IFERROR(IMAGE($B512,4,60,60),""))</f>
        <v/>
      </c>
      <c r="T512" s="68" t="n"/>
      <c r="V512" s="32">
        <f>IF($M512="","",IF($M512=0,"Out of stock",IF(OR($P512="",$Q512=""),"No window",IF(YEAR(TODAY())&lt;$P512,"Too young",IF(YEAR(TODAY())&gt;$Q512,"Past peak",IF(YEAR(TODAY())=$Q512,"Drink now","Ready"))))))</f>
        <v/>
      </c>
    </row>
    <row r="513">
      <c r="A513" s="32">
        <f>IF($B513="","",IFERROR(IMAGE($B513,4,60,60),""))</f>
        <v/>
      </c>
      <c r="T513" s="68" t="n"/>
      <c r="V513" s="32">
        <f>IF($M513="","",IF($M513=0,"Out of stock",IF(OR($P513="",$Q513=""),"No window",IF(YEAR(TODAY())&lt;$P513,"Too young",IF(YEAR(TODAY())&gt;$Q513,"Past peak",IF(YEAR(TODAY())=$Q513,"Drink now","Ready"))))))</f>
        <v/>
      </c>
    </row>
    <row r="514">
      <c r="A514" s="32">
        <f>IF($B514="","",IFERROR(IMAGE($B514,4,60,60),""))</f>
        <v/>
      </c>
      <c r="T514" s="68" t="n"/>
      <c r="V514" s="32">
        <f>IF($M514="","",IF($M514=0,"Out of stock",IF(OR($P514="",$Q514=""),"No window",IF(YEAR(TODAY())&lt;$P514,"Too young",IF(YEAR(TODAY())&gt;$Q514,"Past peak",IF(YEAR(TODAY())=$Q514,"Drink now","Ready"))))))</f>
        <v/>
      </c>
    </row>
    <row r="515">
      <c r="A515" s="32">
        <f>IF($B515="","",IFERROR(IMAGE($B515,4,60,60),""))</f>
        <v/>
      </c>
      <c r="T515" s="68" t="n"/>
      <c r="V515" s="32">
        <f>IF($M515="","",IF($M515=0,"Out of stock",IF(OR($P515="",$Q515=""),"No window",IF(YEAR(TODAY())&lt;$P515,"Too young",IF(YEAR(TODAY())&gt;$Q515,"Past peak",IF(YEAR(TODAY())=$Q515,"Drink now","Ready"))))))</f>
        <v/>
      </c>
    </row>
    <row r="516">
      <c r="A516" s="32">
        <f>IF($B516="","",IFERROR(IMAGE($B516,4,60,60),""))</f>
        <v/>
      </c>
      <c r="T516" s="68" t="n"/>
      <c r="V516" s="32">
        <f>IF($M516="","",IF($M516=0,"Out of stock",IF(OR($P516="",$Q516=""),"No window",IF(YEAR(TODAY())&lt;$P516,"Too young",IF(YEAR(TODAY())&gt;$Q516,"Past peak",IF(YEAR(TODAY())=$Q516,"Drink now","Ready"))))))</f>
        <v/>
      </c>
    </row>
    <row r="517">
      <c r="A517" s="32">
        <f>IF($B517="","",IFERROR(IMAGE($B517,4,60,60),""))</f>
        <v/>
      </c>
      <c r="T517" s="68" t="n"/>
      <c r="V517" s="32">
        <f>IF($M517="","",IF($M517=0,"Out of stock",IF(OR($P517="",$Q517=""),"No window",IF(YEAR(TODAY())&lt;$P517,"Too young",IF(YEAR(TODAY())&gt;$Q517,"Past peak",IF(YEAR(TODAY())=$Q517,"Drink now","Ready"))))))</f>
        <v/>
      </c>
    </row>
    <row r="518">
      <c r="A518" s="32">
        <f>IF($B518="","",IFERROR(IMAGE($B518,4,60,60),""))</f>
        <v/>
      </c>
      <c r="T518" s="68" t="n"/>
      <c r="V518" s="32">
        <f>IF($M518="","",IF($M518=0,"Out of stock",IF(OR($P518="",$Q518=""),"No window",IF(YEAR(TODAY())&lt;$P518,"Too young",IF(YEAR(TODAY())&gt;$Q518,"Past peak",IF(YEAR(TODAY())=$Q518,"Drink now","Ready"))))))</f>
        <v/>
      </c>
    </row>
    <row r="519">
      <c r="A519" s="32">
        <f>IF($B519="","",IFERROR(IMAGE($B519,4,60,60),""))</f>
        <v/>
      </c>
      <c r="T519" s="68" t="n"/>
      <c r="V519" s="32">
        <f>IF($M519="","",IF($M519=0,"Out of stock",IF(OR($P519="",$Q519=""),"No window",IF(YEAR(TODAY())&lt;$P519,"Too young",IF(YEAR(TODAY())&gt;$Q519,"Past peak",IF(YEAR(TODAY())=$Q519,"Drink now","Ready"))))))</f>
        <v/>
      </c>
    </row>
    <row r="520">
      <c r="A520" s="32">
        <f>IF($B520="","",IFERROR(IMAGE($B520,4,60,60),""))</f>
        <v/>
      </c>
      <c r="T520" s="68" t="n"/>
      <c r="V520" s="32">
        <f>IF($M520="","",IF($M520=0,"Out of stock",IF(OR($P520="",$Q520=""),"No window",IF(YEAR(TODAY())&lt;$P520,"Too young",IF(YEAR(TODAY())&gt;$Q520,"Past peak",IF(YEAR(TODAY())=$Q520,"Drink now","Ready"))))))</f>
        <v/>
      </c>
    </row>
    <row r="521">
      <c r="A521" s="32">
        <f>IF($B521="","",IFERROR(IMAGE($B521,4,60,60),""))</f>
        <v/>
      </c>
      <c r="T521" s="68" t="n"/>
      <c r="V521" s="32">
        <f>IF($M521="","",IF($M521=0,"Out of stock",IF(OR($P521="",$Q521=""),"No window",IF(YEAR(TODAY())&lt;$P521,"Too young",IF(YEAR(TODAY())&gt;$Q521,"Past peak",IF(YEAR(TODAY())=$Q521,"Drink now","Ready"))))))</f>
        <v/>
      </c>
    </row>
    <row r="522">
      <c r="A522" s="32">
        <f>IF($B522="","",IFERROR(IMAGE($B522,4,60,60),""))</f>
        <v/>
      </c>
      <c r="T522" s="68" t="n"/>
      <c r="V522" s="32">
        <f>IF($M522="","",IF($M522=0,"Out of stock",IF(OR($P522="",$Q522=""),"No window",IF(YEAR(TODAY())&lt;$P522,"Too young",IF(YEAR(TODAY())&gt;$Q522,"Past peak",IF(YEAR(TODAY())=$Q522,"Drink now","Ready"))))))</f>
        <v/>
      </c>
    </row>
    <row r="523">
      <c r="A523" s="32">
        <f>IF($B523="","",IFERROR(IMAGE($B523,4,60,60),""))</f>
        <v/>
      </c>
      <c r="T523" s="68" t="n"/>
      <c r="V523" s="32">
        <f>IF($M523="","",IF($M523=0,"Out of stock",IF(OR($P523="",$Q523=""),"No window",IF(YEAR(TODAY())&lt;$P523,"Too young",IF(YEAR(TODAY())&gt;$Q523,"Past peak",IF(YEAR(TODAY())=$Q523,"Drink now","Ready"))))))</f>
        <v/>
      </c>
    </row>
    <row r="524">
      <c r="A524" s="32">
        <f>IF($B524="","",IFERROR(IMAGE($B524,4,60,60),""))</f>
        <v/>
      </c>
      <c r="T524" s="68" t="n"/>
      <c r="V524" s="32">
        <f>IF($M524="","",IF($M524=0,"Out of stock",IF(OR($P524="",$Q524=""),"No window",IF(YEAR(TODAY())&lt;$P524,"Too young",IF(YEAR(TODAY())&gt;$Q524,"Past peak",IF(YEAR(TODAY())=$Q524,"Drink now","Ready"))))))</f>
        <v/>
      </c>
    </row>
    <row r="525">
      <c r="A525" s="32">
        <f>IF($B525="","",IFERROR(IMAGE($B525,4,60,60),""))</f>
        <v/>
      </c>
      <c r="T525" s="68" t="n"/>
      <c r="V525" s="32">
        <f>IF($M525="","",IF($M525=0,"Out of stock",IF(OR($P525="",$Q525=""),"No window",IF(YEAR(TODAY())&lt;$P525,"Too young",IF(YEAR(TODAY())&gt;$Q525,"Past peak",IF(YEAR(TODAY())=$Q525,"Drink now","Ready"))))))</f>
        <v/>
      </c>
    </row>
    <row r="526">
      <c r="A526" s="32">
        <f>IF($B526="","",IFERROR(IMAGE($B526,4,60,60),""))</f>
        <v/>
      </c>
      <c r="T526" s="68" t="n"/>
      <c r="V526" s="32">
        <f>IF($M526="","",IF($M526=0,"Out of stock",IF(OR($P526="",$Q526=""),"No window",IF(YEAR(TODAY())&lt;$P526,"Too young",IF(YEAR(TODAY())&gt;$Q526,"Past peak",IF(YEAR(TODAY())=$Q526,"Drink now","Ready"))))))</f>
        <v/>
      </c>
    </row>
    <row r="527">
      <c r="A527" s="32">
        <f>IF($B527="","",IFERROR(IMAGE($B527,4,60,60),""))</f>
        <v/>
      </c>
      <c r="T527" s="68" t="n"/>
      <c r="V527" s="32">
        <f>IF($M527="","",IF($M527=0,"Out of stock",IF(OR($P527="",$Q527=""),"No window",IF(YEAR(TODAY())&lt;$P527,"Too young",IF(YEAR(TODAY())&gt;$Q527,"Past peak",IF(YEAR(TODAY())=$Q527,"Drink now","Ready"))))))</f>
        <v/>
      </c>
    </row>
    <row r="528">
      <c r="A528" s="32">
        <f>IF($B528="","",IFERROR(IMAGE($B528,4,60,60),""))</f>
        <v/>
      </c>
      <c r="T528" s="68" t="n"/>
      <c r="V528" s="32">
        <f>IF($M528="","",IF($M528=0,"Out of stock",IF(OR($P528="",$Q528=""),"No window",IF(YEAR(TODAY())&lt;$P528,"Too young",IF(YEAR(TODAY())&gt;$Q528,"Past peak",IF(YEAR(TODAY())=$Q528,"Drink now","Ready"))))))</f>
        <v/>
      </c>
    </row>
    <row r="529">
      <c r="A529" s="32">
        <f>IF($B529="","",IFERROR(IMAGE($B529,4,60,60),""))</f>
        <v/>
      </c>
      <c r="T529" s="68" t="n"/>
      <c r="V529" s="32">
        <f>IF($M529="","",IF($M529=0,"Out of stock",IF(OR($P529="",$Q529=""),"No window",IF(YEAR(TODAY())&lt;$P529,"Too young",IF(YEAR(TODAY())&gt;$Q529,"Past peak",IF(YEAR(TODAY())=$Q529,"Drink now","Ready"))))))</f>
        <v/>
      </c>
    </row>
    <row r="530">
      <c r="A530" s="32">
        <f>IF($B530="","",IFERROR(IMAGE($B530,4,60,60),""))</f>
        <v/>
      </c>
      <c r="T530" s="68" t="n"/>
      <c r="V530" s="32">
        <f>IF($M530="","",IF($M530=0,"Out of stock",IF(OR($P530="",$Q530=""),"No window",IF(YEAR(TODAY())&lt;$P530,"Too young",IF(YEAR(TODAY())&gt;$Q530,"Past peak",IF(YEAR(TODAY())=$Q530,"Drink now","Ready"))))))</f>
        <v/>
      </c>
    </row>
    <row r="531">
      <c r="A531" s="32">
        <f>IF($B531="","",IFERROR(IMAGE($B531,4,60,60),""))</f>
        <v/>
      </c>
      <c r="T531" s="68" t="n"/>
      <c r="V531" s="32">
        <f>IF($M531="","",IF($M531=0,"Out of stock",IF(OR($P531="",$Q531=""),"No window",IF(YEAR(TODAY())&lt;$P531,"Too young",IF(YEAR(TODAY())&gt;$Q531,"Past peak",IF(YEAR(TODAY())=$Q531,"Drink now","Ready"))))))</f>
        <v/>
      </c>
    </row>
    <row r="532">
      <c r="A532" s="32">
        <f>IF($B532="","",IFERROR(IMAGE($B532,4,60,60),""))</f>
        <v/>
      </c>
      <c r="T532" s="68" t="n"/>
      <c r="V532" s="32">
        <f>IF($M532="","",IF($M532=0,"Out of stock",IF(OR($P532="",$Q532=""),"No window",IF(YEAR(TODAY())&lt;$P532,"Too young",IF(YEAR(TODAY())&gt;$Q532,"Past peak",IF(YEAR(TODAY())=$Q532,"Drink now","Ready"))))))</f>
        <v/>
      </c>
    </row>
    <row r="533">
      <c r="A533" s="32">
        <f>IF($B533="","",IFERROR(IMAGE($B533,4,60,60),""))</f>
        <v/>
      </c>
      <c r="T533" s="68" t="n"/>
      <c r="V533" s="32">
        <f>IF($M533="","",IF($M533=0,"Out of stock",IF(OR($P533="",$Q533=""),"No window",IF(YEAR(TODAY())&lt;$P533,"Too young",IF(YEAR(TODAY())&gt;$Q533,"Past peak",IF(YEAR(TODAY())=$Q533,"Drink now","Ready"))))))</f>
        <v/>
      </c>
    </row>
    <row r="534">
      <c r="A534" s="32">
        <f>IF($B534="","",IFERROR(IMAGE($B534,4,60,60),""))</f>
        <v/>
      </c>
      <c r="T534" s="68" t="n"/>
      <c r="V534" s="32">
        <f>IF($M534="","",IF($M534=0,"Out of stock",IF(OR($P534="",$Q534=""),"No window",IF(YEAR(TODAY())&lt;$P534,"Too young",IF(YEAR(TODAY())&gt;$Q534,"Past peak",IF(YEAR(TODAY())=$Q534,"Drink now","Ready"))))))</f>
        <v/>
      </c>
    </row>
    <row r="535">
      <c r="A535" s="32">
        <f>IF($B535="","",IFERROR(IMAGE($B535,4,60,60),""))</f>
        <v/>
      </c>
      <c r="T535" s="68" t="n"/>
      <c r="V535" s="32">
        <f>IF($M535="","",IF($M535=0,"Out of stock",IF(OR($P535="",$Q535=""),"No window",IF(YEAR(TODAY())&lt;$P535,"Too young",IF(YEAR(TODAY())&gt;$Q535,"Past peak",IF(YEAR(TODAY())=$Q535,"Drink now","Ready"))))))</f>
        <v/>
      </c>
    </row>
    <row r="536">
      <c r="A536" s="32">
        <f>IF($B536="","",IFERROR(IMAGE($B536,4,60,60),""))</f>
        <v/>
      </c>
      <c r="T536" s="68" t="n"/>
      <c r="V536" s="32">
        <f>IF($M536="","",IF($M536=0,"Out of stock",IF(OR($P536="",$Q536=""),"No window",IF(YEAR(TODAY())&lt;$P536,"Too young",IF(YEAR(TODAY())&gt;$Q536,"Past peak",IF(YEAR(TODAY())=$Q536,"Drink now","Ready"))))))</f>
        <v/>
      </c>
    </row>
    <row r="537">
      <c r="A537" s="32">
        <f>IF($B537="","",IFERROR(IMAGE($B537,4,60,60),""))</f>
        <v/>
      </c>
      <c r="T537" s="68" t="n"/>
      <c r="V537" s="32">
        <f>IF($M537="","",IF($M537=0,"Out of stock",IF(OR($P537="",$Q537=""),"No window",IF(YEAR(TODAY())&lt;$P537,"Too young",IF(YEAR(TODAY())&gt;$Q537,"Past peak",IF(YEAR(TODAY())=$Q537,"Drink now","Ready"))))))</f>
        <v/>
      </c>
    </row>
    <row r="538">
      <c r="A538" s="32">
        <f>IF($B538="","",IFERROR(IMAGE($B538,4,60,60),""))</f>
        <v/>
      </c>
      <c r="T538" s="68" t="n"/>
      <c r="V538" s="32">
        <f>IF($M538="","",IF($M538=0,"Out of stock",IF(OR($P538="",$Q538=""),"No window",IF(YEAR(TODAY())&lt;$P538,"Too young",IF(YEAR(TODAY())&gt;$Q538,"Past peak",IF(YEAR(TODAY())=$Q538,"Drink now","Ready"))))))</f>
        <v/>
      </c>
    </row>
    <row r="539">
      <c r="A539" s="32">
        <f>IF($B539="","",IFERROR(IMAGE($B539,4,60,60),""))</f>
        <v/>
      </c>
      <c r="T539" s="68" t="n"/>
      <c r="V539" s="32">
        <f>IF($M539="","",IF($M539=0,"Out of stock",IF(OR($P539="",$Q539=""),"No window",IF(YEAR(TODAY())&lt;$P539,"Too young",IF(YEAR(TODAY())&gt;$Q539,"Past peak",IF(YEAR(TODAY())=$Q539,"Drink now","Ready"))))))</f>
        <v/>
      </c>
    </row>
    <row r="540">
      <c r="A540" s="32">
        <f>IF($B540="","",IFERROR(IMAGE($B540,4,60,60),""))</f>
        <v/>
      </c>
      <c r="T540" s="68" t="n"/>
      <c r="V540" s="32">
        <f>IF($M540="","",IF($M540=0,"Out of stock",IF(OR($P540="",$Q540=""),"No window",IF(YEAR(TODAY())&lt;$P540,"Too young",IF(YEAR(TODAY())&gt;$Q540,"Past peak",IF(YEAR(TODAY())=$Q540,"Drink now","Ready"))))))</f>
        <v/>
      </c>
    </row>
    <row r="541">
      <c r="A541" s="32">
        <f>IF($B541="","",IFERROR(IMAGE($B541,4,60,60),""))</f>
        <v/>
      </c>
      <c r="T541" s="68" t="n"/>
      <c r="V541" s="32">
        <f>IF($M541="","",IF($M541=0,"Out of stock",IF(OR($P541="",$Q541=""),"No window",IF(YEAR(TODAY())&lt;$P541,"Too young",IF(YEAR(TODAY())&gt;$Q541,"Past peak",IF(YEAR(TODAY())=$Q541,"Drink now","Ready"))))))</f>
        <v/>
      </c>
    </row>
    <row r="542">
      <c r="A542" s="32">
        <f>IF($B542="","",IFERROR(IMAGE($B542,4,60,60),""))</f>
        <v/>
      </c>
      <c r="T542" s="68" t="n"/>
      <c r="V542" s="32">
        <f>IF($M542="","",IF($M542=0,"Out of stock",IF(OR($P542="",$Q542=""),"No window",IF(YEAR(TODAY())&lt;$P542,"Too young",IF(YEAR(TODAY())&gt;$Q542,"Past peak",IF(YEAR(TODAY())=$Q542,"Drink now","Ready"))))))</f>
        <v/>
      </c>
    </row>
    <row r="543">
      <c r="A543" s="32">
        <f>IF($B543="","",IFERROR(IMAGE($B543,4,60,60),""))</f>
        <v/>
      </c>
      <c r="T543" s="68" t="n"/>
      <c r="V543" s="32">
        <f>IF($M543="","",IF($M543=0,"Out of stock",IF(OR($P543="",$Q543=""),"No window",IF(YEAR(TODAY())&lt;$P543,"Too young",IF(YEAR(TODAY())&gt;$Q543,"Past peak",IF(YEAR(TODAY())=$Q543,"Drink now","Ready"))))))</f>
        <v/>
      </c>
    </row>
    <row r="544">
      <c r="A544" s="32">
        <f>IF($B544="","",IFERROR(IMAGE($B544,4,60,60),""))</f>
        <v/>
      </c>
      <c r="T544" s="68" t="n"/>
      <c r="V544" s="32">
        <f>IF($M544="","",IF($M544=0,"Out of stock",IF(OR($P544="",$Q544=""),"No window",IF(YEAR(TODAY())&lt;$P544,"Too young",IF(YEAR(TODAY())&gt;$Q544,"Past peak",IF(YEAR(TODAY())=$Q544,"Drink now","Ready"))))))</f>
        <v/>
      </c>
    </row>
    <row r="545">
      <c r="A545" s="32">
        <f>IF($B545="","",IFERROR(IMAGE($B545,4,60,60),""))</f>
        <v/>
      </c>
      <c r="T545" s="68" t="n"/>
      <c r="V545" s="32">
        <f>IF($M545="","",IF($M545=0,"Out of stock",IF(OR($P545="",$Q545=""),"No window",IF(YEAR(TODAY())&lt;$P545,"Too young",IF(YEAR(TODAY())&gt;$Q545,"Past peak",IF(YEAR(TODAY())=$Q545,"Drink now","Ready"))))))</f>
        <v/>
      </c>
    </row>
    <row r="546">
      <c r="A546" s="32">
        <f>IF($B546="","",IFERROR(IMAGE($B546,4,60,60),""))</f>
        <v/>
      </c>
      <c r="T546" s="68" t="n"/>
      <c r="V546" s="32">
        <f>IF($M546="","",IF($M546=0,"Out of stock",IF(OR($P546="",$Q546=""),"No window",IF(YEAR(TODAY())&lt;$P546,"Too young",IF(YEAR(TODAY())&gt;$Q546,"Past peak",IF(YEAR(TODAY())=$Q546,"Drink now","Ready"))))))</f>
        <v/>
      </c>
    </row>
    <row r="547">
      <c r="A547" s="32">
        <f>IF($B547="","",IFERROR(IMAGE($B547,4,60,60),""))</f>
        <v/>
      </c>
      <c r="T547" s="68" t="n"/>
      <c r="V547" s="32">
        <f>IF($M547="","",IF($M547=0,"Out of stock",IF(OR($P547="",$Q547=""),"No window",IF(YEAR(TODAY())&lt;$P547,"Too young",IF(YEAR(TODAY())&gt;$Q547,"Past peak",IF(YEAR(TODAY())=$Q547,"Drink now","Ready"))))))</f>
        <v/>
      </c>
    </row>
    <row r="548">
      <c r="A548" s="32">
        <f>IF($B548="","",IFERROR(IMAGE($B548,4,60,60),""))</f>
        <v/>
      </c>
      <c r="T548" s="68" t="n"/>
      <c r="V548" s="32">
        <f>IF($M548="","",IF($M548=0,"Out of stock",IF(OR($P548="",$Q548=""),"No window",IF(YEAR(TODAY())&lt;$P548,"Too young",IF(YEAR(TODAY())&gt;$Q548,"Past peak",IF(YEAR(TODAY())=$Q548,"Drink now","Ready"))))))</f>
        <v/>
      </c>
    </row>
    <row r="549">
      <c r="A549" s="32">
        <f>IF($B549="","",IFERROR(IMAGE($B549,4,60,60),""))</f>
        <v/>
      </c>
      <c r="T549" s="68" t="n"/>
      <c r="V549" s="32">
        <f>IF($M549="","",IF($M549=0,"Out of stock",IF(OR($P549="",$Q549=""),"No window",IF(YEAR(TODAY())&lt;$P549,"Too young",IF(YEAR(TODAY())&gt;$Q549,"Past peak",IF(YEAR(TODAY())=$Q549,"Drink now","Ready"))))))</f>
        <v/>
      </c>
    </row>
    <row r="550">
      <c r="A550" s="32">
        <f>IF($B550="","",IFERROR(IMAGE($B550,4,60,60),""))</f>
        <v/>
      </c>
      <c r="T550" s="68" t="n"/>
      <c r="V550" s="32">
        <f>IF($M550="","",IF($M550=0,"Out of stock",IF(OR($P550="",$Q550=""),"No window",IF(YEAR(TODAY())&lt;$P550,"Too young",IF(YEAR(TODAY())&gt;$Q550,"Past peak",IF(YEAR(TODAY())=$Q550,"Drink now","Ready"))))))</f>
        <v/>
      </c>
    </row>
    <row r="551">
      <c r="A551" s="32">
        <f>IF($B551="","",IFERROR(IMAGE($B551,4,60,60),""))</f>
        <v/>
      </c>
      <c r="T551" s="68" t="n"/>
      <c r="V551" s="32">
        <f>IF($M551="","",IF($M551=0,"Out of stock",IF(OR($P551="",$Q551=""),"No window",IF(YEAR(TODAY())&lt;$P551,"Too young",IF(YEAR(TODAY())&gt;$Q551,"Past peak",IF(YEAR(TODAY())=$Q551,"Drink now","Ready"))))))</f>
        <v/>
      </c>
    </row>
    <row r="552">
      <c r="A552" s="32">
        <f>IF($B552="","",IFERROR(IMAGE($B552,4,60,60),""))</f>
        <v/>
      </c>
      <c r="T552" s="68" t="n"/>
      <c r="V552" s="32">
        <f>IF($M552="","",IF($M552=0,"Out of stock",IF(OR($P552="",$Q552=""),"No window",IF(YEAR(TODAY())&lt;$P552,"Too young",IF(YEAR(TODAY())&gt;$Q552,"Past peak",IF(YEAR(TODAY())=$Q552,"Drink now","Ready"))))))</f>
        <v/>
      </c>
    </row>
    <row r="553">
      <c r="A553" s="32">
        <f>IF($B553="","",IFERROR(IMAGE($B553,4,60,60),""))</f>
        <v/>
      </c>
      <c r="T553" s="68" t="n"/>
      <c r="V553" s="32">
        <f>IF($M553="","",IF($M553=0,"Out of stock",IF(OR($P553="",$Q553=""),"No window",IF(YEAR(TODAY())&lt;$P553,"Too young",IF(YEAR(TODAY())&gt;$Q553,"Past peak",IF(YEAR(TODAY())=$Q553,"Drink now","Ready"))))))</f>
        <v/>
      </c>
    </row>
    <row r="554">
      <c r="A554" s="32">
        <f>IF($B554="","",IFERROR(IMAGE($B554,4,60,60),""))</f>
        <v/>
      </c>
      <c r="T554" s="68" t="n"/>
      <c r="V554" s="32">
        <f>IF($M554="","",IF($M554=0,"Out of stock",IF(OR($P554="",$Q554=""),"No window",IF(YEAR(TODAY())&lt;$P554,"Too young",IF(YEAR(TODAY())&gt;$Q554,"Past peak",IF(YEAR(TODAY())=$Q554,"Drink now","Ready"))))))</f>
        <v/>
      </c>
    </row>
    <row r="555">
      <c r="A555" s="32">
        <f>IF($B555="","",IFERROR(IMAGE($B555,4,60,60),""))</f>
        <v/>
      </c>
      <c r="T555" s="68" t="n"/>
      <c r="V555" s="32">
        <f>IF($M555="","",IF($M555=0,"Out of stock",IF(OR($P555="",$Q555=""),"No window",IF(YEAR(TODAY())&lt;$P555,"Too young",IF(YEAR(TODAY())&gt;$Q555,"Past peak",IF(YEAR(TODAY())=$Q555,"Drink now","Ready"))))))</f>
        <v/>
      </c>
    </row>
    <row r="556">
      <c r="A556" s="32">
        <f>IF($B556="","",IFERROR(IMAGE($B556,4,60,60),""))</f>
        <v/>
      </c>
      <c r="T556" s="68" t="n"/>
      <c r="V556" s="32">
        <f>IF($M556="","",IF($M556=0,"Out of stock",IF(OR($P556="",$Q556=""),"No window",IF(YEAR(TODAY())&lt;$P556,"Too young",IF(YEAR(TODAY())&gt;$Q556,"Past peak",IF(YEAR(TODAY())=$Q556,"Drink now","Ready"))))))</f>
        <v/>
      </c>
    </row>
    <row r="557">
      <c r="A557" s="32">
        <f>IF($B557="","",IFERROR(IMAGE($B557,4,60,60),""))</f>
        <v/>
      </c>
      <c r="T557" s="68" t="n"/>
      <c r="V557" s="32">
        <f>IF($M557="","",IF($M557=0,"Out of stock",IF(OR($P557="",$Q557=""),"No window",IF(YEAR(TODAY())&lt;$P557,"Too young",IF(YEAR(TODAY())&gt;$Q557,"Past peak",IF(YEAR(TODAY())=$Q557,"Drink now","Ready"))))))</f>
        <v/>
      </c>
    </row>
    <row r="558">
      <c r="A558" s="32">
        <f>IF($B558="","",IFERROR(IMAGE($B558,4,60,60),""))</f>
        <v/>
      </c>
      <c r="T558" s="68" t="n"/>
      <c r="V558" s="32">
        <f>IF($M558="","",IF($M558=0,"Out of stock",IF(OR($P558="",$Q558=""),"No window",IF(YEAR(TODAY())&lt;$P558,"Too young",IF(YEAR(TODAY())&gt;$Q558,"Past peak",IF(YEAR(TODAY())=$Q558,"Drink now","Ready"))))))</f>
        <v/>
      </c>
    </row>
    <row r="559">
      <c r="A559" s="32">
        <f>IF($B559="","",IFERROR(IMAGE($B559,4,60,60),""))</f>
        <v/>
      </c>
      <c r="T559" s="68" t="n"/>
      <c r="V559" s="32">
        <f>IF($M559="","",IF($M559=0,"Out of stock",IF(OR($P559="",$Q559=""),"No window",IF(YEAR(TODAY())&lt;$P559,"Too young",IF(YEAR(TODAY())&gt;$Q559,"Past peak",IF(YEAR(TODAY())=$Q559,"Drink now","Ready"))))))</f>
        <v/>
      </c>
    </row>
    <row r="560">
      <c r="A560" s="32">
        <f>IF($B560="","",IFERROR(IMAGE($B560,4,60,60),""))</f>
        <v/>
      </c>
      <c r="T560" s="68" t="n"/>
      <c r="V560" s="32">
        <f>IF($M560="","",IF($M560=0,"Out of stock",IF(OR($P560="",$Q560=""),"No window",IF(YEAR(TODAY())&lt;$P560,"Too young",IF(YEAR(TODAY())&gt;$Q560,"Past peak",IF(YEAR(TODAY())=$Q560,"Drink now","Ready"))))))</f>
        <v/>
      </c>
    </row>
    <row r="561">
      <c r="A561" s="32">
        <f>IF($B561="","",IFERROR(IMAGE($B561,4,60,60),""))</f>
        <v/>
      </c>
      <c r="T561" s="68" t="n"/>
      <c r="V561" s="32">
        <f>IF($M561="","",IF($M561=0,"Out of stock",IF(OR($P561="",$Q561=""),"No window",IF(YEAR(TODAY())&lt;$P561,"Too young",IF(YEAR(TODAY())&gt;$Q561,"Past peak",IF(YEAR(TODAY())=$Q561,"Drink now","Ready"))))))</f>
        <v/>
      </c>
    </row>
    <row r="562">
      <c r="A562" s="32">
        <f>IF($B562="","",IFERROR(IMAGE($B562,4,60,60),""))</f>
        <v/>
      </c>
      <c r="T562" s="68" t="n"/>
      <c r="V562" s="32">
        <f>IF($M562="","",IF($M562=0,"Out of stock",IF(OR($P562="",$Q562=""),"No window",IF(YEAR(TODAY())&lt;$P562,"Too young",IF(YEAR(TODAY())&gt;$Q562,"Past peak",IF(YEAR(TODAY())=$Q562,"Drink now","Ready"))))))</f>
        <v/>
      </c>
    </row>
    <row r="563">
      <c r="A563" s="32">
        <f>IF($B563="","",IFERROR(IMAGE($B563,4,60,60),""))</f>
        <v/>
      </c>
      <c r="T563" s="68" t="n"/>
      <c r="V563" s="32">
        <f>IF($M563="","",IF($M563=0,"Out of stock",IF(OR($P563="",$Q563=""),"No window",IF(YEAR(TODAY())&lt;$P563,"Too young",IF(YEAR(TODAY())&gt;$Q563,"Past peak",IF(YEAR(TODAY())=$Q563,"Drink now","Ready"))))))</f>
        <v/>
      </c>
    </row>
    <row r="564">
      <c r="A564" s="32">
        <f>IF($B564="","",IFERROR(IMAGE($B564,4,60,60),""))</f>
        <v/>
      </c>
      <c r="T564" s="68" t="n"/>
      <c r="V564" s="32">
        <f>IF($M564="","",IF($M564=0,"Out of stock",IF(OR($P564="",$Q564=""),"No window",IF(YEAR(TODAY())&lt;$P564,"Too young",IF(YEAR(TODAY())&gt;$Q564,"Past peak",IF(YEAR(TODAY())=$Q564,"Drink now","Ready"))))))</f>
        <v/>
      </c>
    </row>
    <row r="565">
      <c r="A565" s="32">
        <f>IF($B565="","",IFERROR(IMAGE($B565,4,60,60),""))</f>
        <v/>
      </c>
      <c r="T565" s="68" t="n"/>
      <c r="V565" s="32">
        <f>IF($M565="","",IF($M565=0,"Out of stock",IF(OR($P565="",$Q565=""),"No window",IF(YEAR(TODAY())&lt;$P565,"Too young",IF(YEAR(TODAY())&gt;$Q565,"Past peak",IF(YEAR(TODAY())=$Q565,"Drink now","Ready"))))))</f>
        <v/>
      </c>
    </row>
    <row r="566">
      <c r="A566" s="32">
        <f>IF($B566="","",IFERROR(IMAGE($B566,4,60,60),""))</f>
        <v/>
      </c>
      <c r="T566" s="68" t="n"/>
      <c r="V566" s="32">
        <f>IF($M566="","",IF($M566=0,"Out of stock",IF(OR($P566="",$Q566=""),"No window",IF(YEAR(TODAY())&lt;$P566,"Too young",IF(YEAR(TODAY())&gt;$Q566,"Past peak",IF(YEAR(TODAY())=$Q566,"Drink now","Ready"))))))</f>
        <v/>
      </c>
    </row>
    <row r="567">
      <c r="A567" s="32">
        <f>IF($B567="","",IFERROR(IMAGE($B567,4,60,60),""))</f>
        <v/>
      </c>
      <c r="T567" s="68" t="n"/>
      <c r="V567" s="32">
        <f>IF($M567="","",IF($M567=0,"Out of stock",IF(OR($P567="",$Q567=""),"No window",IF(YEAR(TODAY())&lt;$P567,"Too young",IF(YEAR(TODAY())&gt;$Q567,"Past peak",IF(YEAR(TODAY())=$Q567,"Drink now","Ready"))))))</f>
        <v/>
      </c>
    </row>
    <row r="568">
      <c r="A568" s="32">
        <f>IF($B568="","",IFERROR(IMAGE($B568,4,60,60),""))</f>
        <v/>
      </c>
      <c r="T568" s="68" t="n"/>
      <c r="V568" s="32">
        <f>IF($M568="","",IF($M568=0,"Out of stock",IF(OR($P568="",$Q568=""),"No window",IF(YEAR(TODAY())&lt;$P568,"Too young",IF(YEAR(TODAY())&gt;$Q568,"Past peak",IF(YEAR(TODAY())=$Q568,"Drink now","Ready"))))))</f>
        <v/>
      </c>
    </row>
    <row r="569">
      <c r="A569" s="32">
        <f>IF($B569="","",IFERROR(IMAGE($B569,4,60,60),""))</f>
        <v/>
      </c>
      <c r="T569" s="68" t="n"/>
      <c r="V569" s="32">
        <f>IF($M569="","",IF($M569=0,"Out of stock",IF(OR($P569="",$Q569=""),"No window",IF(YEAR(TODAY())&lt;$P569,"Too young",IF(YEAR(TODAY())&gt;$Q569,"Past peak",IF(YEAR(TODAY())=$Q569,"Drink now","Ready"))))))</f>
        <v/>
      </c>
    </row>
    <row r="570">
      <c r="A570" s="32">
        <f>IF($B570="","",IFERROR(IMAGE($B570,4,60,60),""))</f>
        <v/>
      </c>
      <c r="T570" s="68" t="n"/>
      <c r="V570" s="32">
        <f>IF($M570="","",IF($M570=0,"Out of stock",IF(OR($P570="",$Q570=""),"No window",IF(YEAR(TODAY())&lt;$P570,"Too young",IF(YEAR(TODAY())&gt;$Q570,"Past peak",IF(YEAR(TODAY())=$Q570,"Drink now","Ready"))))))</f>
        <v/>
      </c>
    </row>
    <row r="571">
      <c r="A571" s="32">
        <f>IF($B571="","",IFERROR(IMAGE($B571,4,60,60),""))</f>
        <v/>
      </c>
      <c r="T571" s="68" t="n"/>
      <c r="V571" s="32">
        <f>IF($M571="","",IF($M571=0,"Out of stock",IF(OR($P571="",$Q571=""),"No window",IF(YEAR(TODAY())&lt;$P571,"Too young",IF(YEAR(TODAY())&gt;$Q571,"Past peak",IF(YEAR(TODAY())=$Q571,"Drink now","Ready"))))))</f>
        <v/>
      </c>
    </row>
    <row r="572">
      <c r="A572" s="32">
        <f>IF($B572="","",IFERROR(IMAGE($B572,4,60,60),""))</f>
        <v/>
      </c>
      <c r="T572" s="68" t="n"/>
      <c r="V572" s="32">
        <f>IF($M572="","",IF($M572=0,"Out of stock",IF(OR($P572="",$Q572=""),"No window",IF(YEAR(TODAY())&lt;$P572,"Too young",IF(YEAR(TODAY())&gt;$Q572,"Past peak",IF(YEAR(TODAY())=$Q572,"Drink now","Ready"))))))</f>
        <v/>
      </c>
    </row>
    <row r="573">
      <c r="A573" s="32">
        <f>IF($B573="","",IFERROR(IMAGE($B573,4,60,60),""))</f>
        <v/>
      </c>
      <c r="T573" s="68" t="n"/>
      <c r="V573" s="32">
        <f>IF($M573="","",IF($M573=0,"Out of stock",IF(OR($P573="",$Q573=""),"No window",IF(YEAR(TODAY())&lt;$P573,"Too young",IF(YEAR(TODAY())&gt;$Q573,"Past peak",IF(YEAR(TODAY())=$Q573,"Drink now","Ready"))))))</f>
        <v/>
      </c>
    </row>
    <row r="574">
      <c r="A574" s="32">
        <f>IF($B574="","",IFERROR(IMAGE($B574,4,60,60),""))</f>
        <v/>
      </c>
      <c r="T574" s="68" t="n"/>
      <c r="V574" s="32">
        <f>IF($M574="","",IF($M574=0,"Out of stock",IF(OR($P574="",$Q574=""),"No window",IF(YEAR(TODAY())&lt;$P574,"Too young",IF(YEAR(TODAY())&gt;$Q574,"Past peak",IF(YEAR(TODAY())=$Q574,"Drink now","Ready"))))))</f>
        <v/>
      </c>
    </row>
    <row r="575">
      <c r="A575" s="32">
        <f>IF($B575="","",IFERROR(IMAGE($B575,4,60,60),""))</f>
        <v/>
      </c>
      <c r="T575" s="68" t="n"/>
      <c r="V575" s="32">
        <f>IF($M575="","",IF($M575=0,"Out of stock",IF(OR($P575="",$Q575=""),"No window",IF(YEAR(TODAY())&lt;$P575,"Too young",IF(YEAR(TODAY())&gt;$Q575,"Past peak",IF(YEAR(TODAY())=$Q575,"Drink now","Ready"))))))</f>
        <v/>
      </c>
    </row>
    <row r="576">
      <c r="A576" s="32">
        <f>IF($B576="","",IFERROR(IMAGE($B576,4,60,60),""))</f>
        <v/>
      </c>
      <c r="T576" s="68" t="n"/>
      <c r="V576" s="32">
        <f>IF($M576="","",IF($M576=0,"Out of stock",IF(OR($P576="",$Q576=""),"No window",IF(YEAR(TODAY())&lt;$P576,"Too young",IF(YEAR(TODAY())&gt;$Q576,"Past peak",IF(YEAR(TODAY())=$Q576,"Drink now","Ready"))))))</f>
        <v/>
      </c>
    </row>
    <row r="577">
      <c r="A577" s="32">
        <f>IF($B577="","",IFERROR(IMAGE($B577,4,60,60),""))</f>
        <v/>
      </c>
      <c r="T577" s="68" t="n"/>
      <c r="V577" s="32">
        <f>IF($M577="","",IF($M577=0,"Out of stock",IF(OR($P577="",$Q577=""),"No window",IF(YEAR(TODAY())&lt;$P577,"Too young",IF(YEAR(TODAY())&gt;$Q577,"Past peak",IF(YEAR(TODAY())=$Q577,"Drink now","Ready"))))))</f>
        <v/>
      </c>
    </row>
    <row r="578">
      <c r="A578" s="32">
        <f>IF($B578="","",IFERROR(IMAGE($B578,4,60,60),""))</f>
        <v/>
      </c>
      <c r="T578" s="68" t="n"/>
      <c r="V578" s="32">
        <f>IF($M578="","",IF($M578=0,"Out of stock",IF(OR($P578="",$Q578=""),"No window",IF(YEAR(TODAY())&lt;$P578,"Too young",IF(YEAR(TODAY())&gt;$Q578,"Past peak",IF(YEAR(TODAY())=$Q578,"Drink now","Ready"))))))</f>
        <v/>
      </c>
    </row>
    <row r="579">
      <c r="A579" s="32">
        <f>IF($B579="","",IFERROR(IMAGE($B579,4,60,60),""))</f>
        <v/>
      </c>
      <c r="T579" s="68" t="n"/>
      <c r="V579" s="32">
        <f>IF($M579="","",IF($M579=0,"Out of stock",IF(OR($P579="",$Q579=""),"No window",IF(YEAR(TODAY())&lt;$P579,"Too young",IF(YEAR(TODAY())&gt;$Q579,"Past peak",IF(YEAR(TODAY())=$Q579,"Drink now","Ready"))))))</f>
        <v/>
      </c>
    </row>
    <row r="580">
      <c r="A580" s="32">
        <f>IF($B580="","",IFERROR(IMAGE($B580,4,60,60),""))</f>
        <v/>
      </c>
      <c r="T580" s="68" t="n"/>
      <c r="V580" s="32">
        <f>IF($M580="","",IF($M580=0,"Out of stock",IF(OR($P580="",$Q580=""),"No window",IF(YEAR(TODAY())&lt;$P580,"Too young",IF(YEAR(TODAY())&gt;$Q580,"Past peak",IF(YEAR(TODAY())=$Q580,"Drink now","Ready"))))))</f>
        <v/>
      </c>
    </row>
    <row r="581">
      <c r="A581" s="32">
        <f>IF($B581="","",IFERROR(IMAGE($B581,4,60,60),""))</f>
        <v/>
      </c>
      <c r="T581" s="68" t="n"/>
      <c r="V581" s="32">
        <f>IF($M581="","",IF($M581=0,"Out of stock",IF(OR($P581="",$Q581=""),"No window",IF(YEAR(TODAY())&lt;$P581,"Too young",IF(YEAR(TODAY())&gt;$Q581,"Past peak",IF(YEAR(TODAY())=$Q581,"Drink now","Ready"))))))</f>
        <v/>
      </c>
    </row>
    <row r="582">
      <c r="A582" s="32">
        <f>IF($B582="","",IFERROR(IMAGE($B582,4,60,60),""))</f>
        <v/>
      </c>
      <c r="T582" s="68" t="n"/>
      <c r="V582" s="32">
        <f>IF($M582="","",IF($M582=0,"Out of stock",IF(OR($P582="",$Q582=""),"No window",IF(YEAR(TODAY())&lt;$P582,"Too young",IF(YEAR(TODAY())&gt;$Q582,"Past peak",IF(YEAR(TODAY())=$Q582,"Drink now","Ready"))))))</f>
        <v/>
      </c>
    </row>
    <row r="583">
      <c r="A583" s="32">
        <f>IF($B583="","",IFERROR(IMAGE($B583,4,60,60),""))</f>
        <v/>
      </c>
      <c r="T583" s="68" t="n"/>
      <c r="V583" s="32">
        <f>IF($M583="","",IF($M583=0,"Out of stock",IF(OR($P583="",$Q583=""),"No window",IF(YEAR(TODAY())&lt;$P583,"Too young",IF(YEAR(TODAY())&gt;$Q583,"Past peak",IF(YEAR(TODAY())=$Q583,"Drink now","Ready"))))))</f>
        <v/>
      </c>
    </row>
    <row r="584">
      <c r="A584" s="32">
        <f>IF($B584="","",IFERROR(IMAGE($B584,4,60,60),""))</f>
        <v/>
      </c>
      <c r="T584" s="68" t="n"/>
      <c r="V584" s="32">
        <f>IF($M584="","",IF($M584=0,"Out of stock",IF(OR($P584="",$Q584=""),"No window",IF(YEAR(TODAY())&lt;$P584,"Too young",IF(YEAR(TODAY())&gt;$Q584,"Past peak",IF(YEAR(TODAY())=$Q584,"Drink now","Ready"))))))</f>
        <v/>
      </c>
    </row>
    <row r="585">
      <c r="A585" s="32">
        <f>IF($B585="","",IFERROR(IMAGE($B585,4,60,60),""))</f>
        <v/>
      </c>
      <c r="T585" s="68" t="n"/>
      <c r="V585" s="32">
        <f>IF($M585="","",IF($M585=0,"Out of stock",IF(OR($P585="",$Q585=""),"No window",IF(YEAR(TODAY())&lt;$P585,"Too young",IF(YEAR(TODAY())&gt;$Q585,"Past peak",IF(YEAR(TODAY())=$Q585,"Drink now","Ready"))))))</f>
        <v/>
      </c>
    </row>
    <row r="586">
      <c r="A586" s="32">
        <f>IF($B586="","",IFERROR(IMAGE($B586,4,60,60),""))</f>
        <v/>
      </c>
      <c r="T586" s="68" t="n"/>
      <c r="V586" s="32">
        <f>IF($M586="","",IF($M586=0,"Out of stock",IF(OR($P586="",$Q586=""),"No window",IF(YEAR(TODAY())&lt;$P586,"Too young",IF(YEAR(TODAY())&gt;$Q586,"Past peak",IF(YEAR(TODAY())=$Q586,"Drink now","Ready"))))))</f>
        <v/>
      </c>
    </row>
    <row r="587">
      <c r="A587" s="32">
        <f>IF($B587="","",IFERROR(IMAGE($B587,4,60,60),""))</f>
        <v/>
      </c>
      <c r="T587" s="68" t="n"/>
      <c r="V587" s="32">
        <f>IF($M587="","",IF($M587=0,"Out of stock",IF(OR($P587="",$Q587=""),"No window",IF(YEAR(TODAY())&lt;$P587,"Too young",IF(YEAR(TODAY())&gt;$Q587,"Past peak",IF(YEAR(TODAY())=$Q587,"Drink now","Ready"))))))</f>
        <v/>
      </c>
    </row>
    <row r="588">
      <c r="A588" s="32">
        <f>IF($B588="","",IFERROR(IMAGE($B588,4,60,60),""))</f>
        <v/>
      </c>
      <c r="T588" s="68" t="n"/>
      <c r="V588" s="32">
        <f>IF($M588="","",IF($M588=0,"Out of stock",IF(OR($P588="",$Q588=""),"No window",IF(YEAR(TODAY())&lt;$P588,"Too young",IF(YEAR(TODAY())&gt;$Q588,"Past peak",IF(YEAR(TODAY())=$Q588,"Drink now","Ready"))))))</f>
        <v/>
      </c>
    </row>
    <row r="589">
      <c r="A589" s="32">
        <f>IF($B589="","",IFERROR(IMAGE($B589,4,60,60),""))</f>
        <v/>
      </c>
      <c r="T589" s="68" t="n"/>
      <c r="V589" s="32">
        <f>IF($M589="","",IF($M589=0,"Out of stock",IF(OR($P589="",$Q589=""),"No window",IF(YEAR(TODAY())&lt;$P589,"Too young",IF(YEAR(TODAY())&gt;$Q589,"Past peak",IF(YEAR(TODAY())=$Q589,"Drink now","Ready"))))))</f>
        <v/>
      </c>
    </row>
    <row r="590">
      <c r="A590" s="32">
        <f>IF($B590="","",IFERROR(IMAGE($B590,4,60,60),""))</f>
        <v/>
      </c>
      <c r="T590" s="68" t="n"/>
      <c r="V590" s="32">
        <f>IF($M590="","",IF($M590=0,"Out of stock",IF(OR($P590="",$Q590=""),"No window",IF(YEAR(TODAY())&lt;$P590,"Too young",IF(YEAR(TODAY())&gt;$Q590,"Past peak",IF(YEAR(TODAY())=$Q590,"Drink now","Ready"))))))</f>
        <v/>
      </c>
    </row>
    <row r="591">
      <c r="A591" s="32">
        <f>IF($B591="","",IFERROR(IMAGE($B591,4,60,60),""))</f>
        <v/>
      </c>
      <c r="T591" s="68" t="n"/>
      <c r="V591" s="32">
        <f>IF($M591="","",IF($M591=0,"Out of stock",IF(OR($P591="",$Q591=""),"No window",IF(YEAR(TODAY())&lt;$P591,"Too young",IF(YEAR(TODAY())&gt;$Q591,"Past peak",IF(YEAR(TODAY())=$Q591,"Drink now","Ready"))))))</f>
        <v/>
      </c>
    </row>
    <row r="592">
      <c r="A592" s="32">
        <f>IF($B592="","",IFERROR(IMAGE($B592,4,60,60),""))</f>
        <v/>
      </c>
      <c r="T592" s="68" t="n"/>
      <c r="V592" s="32">
        <f>IF($M592="","",IF($M592=0,"Out of stock",IF(OR($P592="",$Q592=""),"No window",IF(YEAR(TODAY())&lt;$P592,"Too young",IF(YEAR(TODAY())&gt;$Q592,"Past peak",IF(YEAR(TODAY())=$Q592,"Drink now","Ready"))))))</f>
        <v/>
      </c>
    </row>
    <row r="593">
      <c r="A593" s="32">
        <f>IF($B593="","",IFERROR(IMAGE($B593,4,60,60),""))</f>
        <v/>
      </c>
      <c r="T593" s="68" t="n"/>
      <c r="V593" s="32">
        <f>IF($M593="","",IF($M593=0,"Out of stock",IF(OR($P593="",$Q593=""),"No window",IF(YEAR(TODAY())&lt;$P593,"Too young",IF(YEAR(TODAY())&gt;$Q593,"Past peak",IF(YEAR(TODAY())=$Q593,"Drink now","Ready"))))))</f>
        <v/>
      </c>
    </row>
    <row r="594">
      <c r="A594" s="32">
        <f>IF($B594="","",IFERROR(IMAGE($B594,4,60,60),""))</f>
        <v/>
      </c>
      <c r="T594" s="68" t="n"/>
      <c r="V594" s="32">
        <f>IF($M594="","",IF($M594=0,"Out of stock",IF(OR($P594="",$Q594=""),"No window",IF(YEAR(TODAY())&lt;$P594,"Too young",IF(YEAR(TODAY())&gt;$Q594,"Past peak",IF(YEAR(TODAY())=$Q594,"Drink now","Ready"))))))</f>
        <v/>
      </c>
    </row>
    <row r="595">
      <c r="A595" s="32">
        <f>IF($B595="","",IFERROR(IMAGE($B595,4,60,60),""))</f>
        <v/>
      </c>
      <c r="T595" s="68" t="n"/>
      <c r="V595" s="32">
        <f>IF($M595="","",IF($M595=0,"Out of stock",IF(OR($P595="",$Q595=""),"No window",IF(YEAR(TODAY())&lt;$P595,"Too young",IF(YEAR(TODAY())&gt;$Q595,"Past peak",IF(YEAR(TODAY())=$Q595,"Drink now","Ready"))))))</f>
        <v/>
      </c>
    </row>
    <row r="596">
      <c r="A596" s="32">
        <f>IF($B596="","",IFERROR(IMAGE($B596,4,60,60),""))</f>
        <v/>
      </c>
      <c r="T596" s="68" t="n"/>
      <c r="V596" s="32">
        <f>IF($M596="","",IF($M596=0,"Out of stock",IF(OR($P596="",$Q596=""),"No window",IF(YEAR(TODAY())&lt;$P596,"Too young",IF(YEAR(TODAY())&gt;$Q596,"Past peak",IF(YEAR(TODAY())=$Q596,"Drink now","Ready"))))))</f>
        <v/>
      </c>
    </row>
    <row r="597">
      <c r="A597" s="32">
        <f>IF($B597="","",IFERROR(IMAGE($B597,4,60,60),""))</f>
        <v/>
      </c>
      <c r="T597" s="68" t="n"/>
      <c r="V597" s="32">
        <f>IF($M597="","",IF($M597=0,"Out of stock",IF(OR($P597="",$Q597=""),"No window",IF(YEAR(TODAY())&lt;$P597,"Too young",IF(YEAR(TODAY())&gt;$Q597,"Past peak",IF(YEAR(TODAY())=$Q597,"Drink now","Ready"))))))</f>
        <v/>
      </c>
    </row>
    <row r="598">
      <c r="A598" s="32">
        <f>IF($B598="","",IFERROR(IMAGE($B598,4,60,60),""))</f>
        <v/>
      </c>
      <c r="T598" s="68" t="n"/>
      <c r="V598" s="32">
        <f>IF($M598="","",IF($M598=0,"Out of stock",IF(OR($P598="",$Q598=""),"No window",IF(YEAR(TODAY())&lt;$P598,"Too young",IF(YEAR(TODAY())&gt;$Q598,"Past peak",IF(YEAR(TODAY())=$Q598,"Drink now","Ready"))))))</f>
        <v/>
      </c>
    </row>
    <row r="599">
      <c r="A599" s="32">
        <f>IF($B599="","",IFERROR(IMAGE($B599,4,60,60),""))</f>
        <v/>
      </c>
      <c r="T599" s="68" t="n"/>
      <c r="V599" s="32">
        <f>IF($M599="","",IF($M599=0,"Out of stock",IF(OR($P599="",$Q599=""),"No window",IF(YEAR(TODAY())&lt;$P599,"Too young",IF(YEAR(TODAY())&gt;$Q599,"Past peak",IF(YEAR(TODAY())=$Q599,"Drink now","Ready"))))))</f>
        <v/>
      </c>
    </row>
    <row r="600">
      <c r="A600" s="32">
        <f>IF($B600="","",IFERROR(IMAGE($B600,4,60,60),""))</f>
        <v/>
      </c>
      <c r="T600" s="68" t="n"/>
      <c r="V600" s="32">
        <f>IF($M600="","",IF($M600=0,"Out of stock",IF(OR($P600="",$Q600=""),"No window",IF(YEAR(TODAY())&lt;$P600,"Too young",IF(YEAR(TODAY())&gt;$Q600,"Past peak",IF(YEAR(TODAY())=$Q600,"Drink now","Ready"))))))</f>
        <v/>
      </c>
    </row>
    <row r="601">
      <c r="A601" s="32">
        <f>IF($B601="","",IFERROR(IMAGE($B601,4,60,60),""))</f>
        <v/>
      </c>
      <c r="T601" s="68" t="n"/>
      <c r="V601" s="32">
        <f>IF($M601="","",IF($M601=0,"Out of stock",IF(OR($P601="",$Q601=""),"No window",IF(YEAR(TODAY())&lt;$P601,"Too young",IF(YEAR(TODAY())&gt;$Q601,"Past peak",IF(YEAR(TODAY())=$Q601,"Drink now","Ready"))))))</f>
        <v/>
      </c>
    </row>
    <row r="602">
      <c r="A602" s="32">
        <f>IF($B602="","",IFERROR(IMAGE($B602,4,60,60),""))</f>
        <v/>
      </c>
      <c r="T602" s="68" t="n"/>
      <c r="V602" s="32">
        <f>IF($M602="","",IF($M602=0,"Out of stock",IF(OR($P602="",$Q602=""),"No window",IF(YEAR(TODAY())&lt;$P602,"Too young",IF(YEAR(TODAY())&gt;$Q602,"Past peak",IF(YEAR(TODAY())=$Q602,"Drink now","Ready"))))))</f>
        <v/>
      </c>
    </row>
    <row r="603">
      <c r="A603" s="32">
        <f>IF($B603="","",IFERROR(IMAGE($B603,4,60,60),""))</f>
        <v/>
      </c>
      <c r="T603" s="68" t="n"/>
      <c r="V603" s="32">
        <f>IF($M603="","",IF($M603=0,"Out of stock",IF(OR($P603="",$Q603=""),"No window",IF(YEAR(TODAY())&lt;$P603,"Too young",IF(YEAR(TODAY())&gt;$Q603,"Past peak",IF(YEAR(TODAY())=$Q603,"Drink now","Ready"))))))</f>
        <v/>
      </c>
    </row>
    <row r="604">
      <c r="A604" s="32">
        <f>IF($B604="","",IFERROR(IMAGE($B604,4,60,60),""))</f>
        <v/>
      </c>
      <c r="T604" s="68" t="n"/>
      <c r="V604" s="32">
        <f>IF($M604="","",IF($M604=0,"Out of stock",IF(OR($P604="",$Q604=""),"No window",IF(YEAR(TODAY())&lt;$P604,"Too young",IF(YEAR(TODAY())&gt;$Q604,"Past peak",IF(YEAR(TODAY())=$Q604,"Drink now","Ready"))))))</f>
        <v/>
      </c>
    </row>
    <row r="605">
      <c r="A605" s="32">
        <f>IF($B605="","",IFERROR(IMAGE($B605,4,60,60),""))</f>
        <v/>
      </c>
      <c r="T605" s="68" t="n"/>
      <c r="V605" s="32">
        <f>IF($M605="","",IF($M605=0,"Out of stock",IF(OR($P605="",$Q605=""),"No window",IF(YEAR(TODAY())&lt;$P605,"Too young",IF(YEAR(TODAY())&gt;$Q605,"Past peak",IF(YEAR(TODAY())=$Q605,"Drink now","Ready"))))))</f>
        <v/>
      </c>
    </row>
    <row r="606">
      <c r="A606" s="32">
        <f>IF($B606="","",IFERROR(IMAGE($B606,4,60,60),""))</f>
        <v/>
      </c>
      <c r="T606" s="68" t="n"/>
      <c r="V606" s="32">
        <f>IF($M606="","",IF($M606=0,"Out of stock",IF(OR($P606="",$Q606=""),"No window",IF(YEAR(TODAY())&lt;$P606,"Too young",IF(YEAR(TODAY())&gt;$Q606,"Past peak",IF(YEAR(TODAY())=$Q606,"Drink now","Ready"))))))</f>
        <v/>
      </c>
    </row>
    <row r="607">
      <c r="A607" s="32">
        <f>IF($B607="","",IFERROR(IMAGE($B607,4,60,60),""))</f>
        <v/>
      </c>
      <c r="T607" s="68" t="n"/>
      <c r="V607" s="32">
        <f>IF($M607="","",IF($M607=0,"Out of stock",IF(OR($P607="",$Q607=""),"No window",IF(YEAR(TODAY())&lt;$P607,"Too young",IF(YEAR(TODAY())&gt;$Q607,"Past peak",IF(YEAR(TODAY())=$Q607,"Drink now","Ready"))))))</f>
        <v/>
      </c>
    </row>
    <row r="608">
      <c r="A608" s="32">
        <f>IF($B608="","",IFERROR(IMAGE($B608,4,60,60),""))</f>
        <v/>
      </c>
      <c r="T608" s="68" t="n"/>
      <c r="V608" s="32">
        <f>IF($M608="","",IF($M608=0,"Out of stock",IF(OR($P608="",$Q608=""),"No window",IF(YEAR(TODAY())&lt;$P608,"Too young",IF(YEAR(TODAY())&gt;$Q608,"Past peak",IF(YEAR(TODAY())=$Q608,"Drink now","Ready"))))))</f>
        <v/>
      </c>
    </row>
    <row r="609">
      <c r="A609" s="32">
        <f>IF($B609="","",IFERROR(IMAGE($B609,4,60,60),""))</f>
        <v/>
      </c>
      <c r="T609" s="68" t="n"/>
      <c r="V609" s="32">
        <f>IF($M609="","",IF($M609=0,"Out of stock",IF(OR($P609="",$Q609=""),"No window",IF(YEAR(TODAY())&lt;$P609,"Too young",IF(YEAR(TODAY())&gt;$Q609,"Past peak",IF(YEAR(TODAY())=$Q609,"Drink now","Ready"))))))</f>
        <v/>
      </c>
    </row>
    <row r="610">
      <c r="A610" s="32">
        <f>IF($B610="","",IFERROR(IMAGE($B610,4,60,60),""))</f>
        <v/>
      </c>
      <c r="T610" s="68" t="n"/>
      <c r="V610" s="32">
        <f>IF($M610="","",IF($M610=0,"Out of stock",IF(OR($P610="",$Q610=""),"No window",IF(YEAR(TODAY())&lt;$P610,"Too young",IF(YEAR(TODAY())&gt;$Q610,"Past peak",IF(YEAR(TODAY())=$Q610,"Drink now","Ready"))))))</f>
        <v/>
      </c>
    </row>
    <row r="611">
      <c r="A611" s="32">
        <f>IF($B611="","",IFERROR(IMAGE($B611,4,60,60),""))</f>
        <v/>
      </c>
      <c r="T611" s="68" t="n"/>
      <c r="V611" s="32">
        <f>IF($M611="","",IF($M611=0,"Out of stock",IF(OR($P611="",$Q611=""),"No window",IF(YEAR(TODAY())&lt;$P611,"Too young",IF(YEAR(TODAY())&gt;$Q611,"Past peak",IF(YEAR(TODAY())=$Q611,"Drink now","Ready"))))))</f>
        <v/>
      </c>
    </row>
    <row r="612">
      <c r="A612" s="32">
        <f>IF($B612="","",IFERROR(IMAGE($B612,4,60,60),""))</f>
        <v/>
      </c>
      <c r="T612" s="68" t="n"/>
      <c r="V612" s="32">
        <f>IF($M612="","",IF($M612=0,"Out of stock",IF(OR($P612="",$Q612=""),"No window",IF(YEAR(TODAY())&lt;$P612,"Too young",IF(YEAR(TODAY())&gt;$Q612,"Past peak",IF(YEAR(TODAY())=$Q612,"Drink now","Ready"))))))</f>
        <v/>
      </c>
    </row>
    <row r="613">
      <c r="A613" s="32">
        <f>IF($B613="","",IFERROR(IMAGE($B613,4,60,60),""))</f>
        <v/>
      </c>
      <c r="T613" s="68" t="n"/>
      <c r="V613" s="32">
        <f>IF($M613="","",IF($M613=0,"Out of stock",IF(OR($P613="",$Q613=""),"No window",IF(YEAR(TODAY())&lt;$P613,"Too young",IF(YEAR(TODAY())&gt;$Q613,"Past peak",IF(YEAR(TODAY())=$Q613,"Drink now","Ready"))))))</f>
        <v/>
      </c>
    </row>
    <row r="614">
      <c r="A614" s="32">
        <f>IF($B614="","",IFERROR(IMAGE($B614,4,60,60),""))</f>
        <v/>
      </c>
      <c r="T614" s="68" t="n"/>
      <c r="V614" s="32">
        <f>IF($M614="","",IF($M614=0,"Out of stock",IF(OR($P614="",$Q614=""),"No window",IF(YEAR(TODAY())&lt;$P614,"Too young",IF(YEAR(TODAY())&gt;$Q614,"Past peak",IF(YEAR(TODAY())=$Q614,"Drink now","Ready"))))))</f>
        <v/>
      </c>
    </row>
    <row r="615">
      <c r="A615" s="32">
        <f>IF($B615="","",IFERROR(IMAGE($B615,4,60,60),""))</f>
        <v/>
      </c>
      <c r="T615" s="68" t="n"/>
      <c r="V615" s="32">
        <f>IF($M615="","",IF($M615=0,"Out of stock",IF(OR($P615="",$Q615=""),"No window",IF(YEAR(TODAY())&lt;$P615,"Too young",IF(YEAR(TODAY())&gt;$Q615,"Past peak",IF(YEAR(TODAY())=$Q615,"Drink now","Ready"))))))</f>
        <v/>
      </c>
    </row>
    <row r="616">
      <c r="A616" s="32">
        <f>IF($B616="","",IFERROR(IMAGE($B616,4,60,60),""))</f>
        <v/>
      </c>
      <c r="T616" s="68" t="n"/>
      <c r="V616" s="32">
        <f>IF($M616="","",IF($M616=0,"Out of stock",IF(OR($P616="",$Q616=""),"No window",IF(YEAR(TODAY())&lt;$P616,"Too young",IF(YEAR(TODAY())&gt;$Q616,"Past peak",IF(YEAR(TODAY())=$Q616,"Drink now","Ready"))))))</f>
        <v/>
      </c>
    </row>
    <row r="617">
      <c r="A617" s="32">
        <f>IF($B617="","",IFERROR(IMAGE($B617,4,60,60),""))</f>
        <v/>
      </c>
      <c r="T617" s="68" t="n"/>
      <c r="V617" s="32">
        <f>IF($M617="","",IF($M617=0,"Out of stock",IF(OR($P617="",$Q617=""),"No window",IF(YEAR(TODAY())&lt;$P617,"Too young",IF(YEAR(TODAY())&gt;$Q617,"Past peak",IF(YEAR(TODAY())=$Q617,"Drink now","Ready"))))))</f>
        <v/>
      </c>
    </row>
    <row r="618">
      <c r="A618" s="32">
        <f>IF($B618="","",IFERROR(IMAGE($B618,4,60,60),""))</f>
        <v/>
      </c>
      <c r="T618" s="68" t="n"/>
      <c r="V618" s="32">
        <f>IF($M618="","",IF($M618=0,"Out of stock",IF(OR($P618="",$Q618=""),"No window",IF(YEAR(TODAY())&lt;$P618,"Too young",IF(YEAR(TODAY())&gt;$Q618,"Past peak",IF(YEAR(TODAY())=$Q618,"Drink now","Ready"))))))</f>
        <v/>
      </c>
    </row>
    <row r="619">
      <c r="A619" s="32">
        <f>IF($B619="","",IFERROR(IMAGE($B619,4,60,60),""))</f>
        <v/>
      </c>
      <c r="T619" s="68" t="n"/>
      <c r="V619" s="32">
        <f>IF($M619="","",IF($M619=0,"Out of stock",IF(OR($P619="",$Q619=""),"No window",IF(YEAR(TODAY())&lt;$P619,"Too young",IF(YEAR(TODAY())&gt;$Q619,"Past peak",IF(YEAR(TODAY())=$Q619,"Drink now","Ready"))))))</f>
        <v/>
      </c>
    </row>
    <row r="620">
      <c r="A620" s="32">
        <f>IF($B620="","",IFERROR(IMAGE($B620,4,60,60),""))</f>
        <v/>
      </c>
      <c r="T620" s="68" t="n"/>
      <c r="V620" s="32">
        <f>IF($M620="","",IF($M620=0,"Out of stock",IF(OR($P620="",$Q620=""),"No window",IF(YEAR(TODAY())&lt;$P620,"Too young",IF(YEAR(TODAY())&gt;$Q620,"Past peak",IF(YEAR(TODAY())=$Q620,"Drink now","Ready"))))))</f>
        <v/>
      </c>
    </row>
    <row r="621">
      <c r="A621" s="32">
        <f>IF($B621="","",IFERROR(IMAGE($B621,4,60,60),""))</f>
        <v/>
      </c>
      <c r="T621" s="68" t="n"/>
      <c r="V621" s="32">
        <f>IF($M621="","",IF($M621=0,"Out of stock",IF(OR($P621="",$Q621=""),"No window",IF(YEAR(TODAY())&lt;$P621,"Too young",IF(YEAR(TODAY())&gt;$Q621,"Past peak",IF(YEAR(TODAY())=$Q621,"Drink now","Ready"))))))</f>
        <v/>
      </c>
    </row>
    <row r="622">
      <c r="A622" s="32">
        <f>IF($B622="","",IFERROR(IMAGE($B622,4,60,60),""))</f>
        <v/>
      </c>
      <c r="T622" s="68" t="n"/>
      <c r="V622" s="32">
        <f>IF($M622="","",IF($M622=0,"Out of stock",IF(OR($P622="",$Q622=""),"No window",IF(YEAR(TODAY())&lt;$P622,"Too young",IF(YEAR(TODAY())&gt;$Q622,"Past peak",IF(YEAR(TODAY())=$Q622,"Drink now","Ready"))))))</f>
        <v/>
      </c>
    </row>
    <row r="623">
      <c r="A623" s="32">
        <f>IF($B623="","",IFERROR(IMAGE($B623,4,60,60),""))</f>
        <v/>
      </c>
      <c r="T623" s="68" t="n"/>
      <c r="V623" s="32">
        <f>IF($M623="","",IF($M623=0,"Out of stock",IF(OR($P623="",$Q623=""),"No window",IF(YEAR(TODAY())&lt;$P623,"Too young",IF(YEAR(TODAY())&gt;$Q623,"Past peak",IF(YEAR(TODAY())=$Q623,"Drink now","Ready"))))))</f>
        <v/>
      </c>
    </row>
    <row r="624">
      <c r="A624" s="32">
        <f>IF($B624="","",IFERROR(IMAGE($B624,4,60,60),""))</f>
        <v/>
      </c>
      <c r="T624" s="68" t="n"/>
      <c r="V624" s="32">
        <f>IF($M624="","",IF($M624=0,"Out of stock",IF(OR($P624="",$Q624=""),"No window",IF(YEAR(TODAY())&lt;$P624,"Too young",IF(YEAR(TODAY())&gt;$Q624,"Past peak",IF(YEAR(TODAY())=$Q624,"Drink now","Ready"))))))</f>
        <v/>
      </c>
    </row>
    <row r="625">
      <c r="A625" s="32">
        <f>IF($B625="","",IFERROR(IMAGE($B625,4,60,60),""))</f>
        <v/>
      </c>
      <c r="T625" s="68" t="n"/>
      <c r="V625" s="32">
        <f>IF($M625="","",IF($M625=0,"Out of stock",IF(OR($P625="",$Q625=""),"No window",IF(YEAR(TODAY())&lt;$P625,"Too young",IF(YEAR(TODAY())&gt;$Q625,"Past peak",IF(YEAR(TODAY())=$Q625,"Drink now","Ready"))))))</f>
        <v/>
      </c>
    </row>
    <row r="626">
      <c r="A626" s="32">
        <f>IF($B626="","",IFERROR(IMAGE($B626,4,60,60),""))</f>
        <v/>
      </c>
      <c r="T626" s="68" t="n"/>
      <c r="V626" s="32">
        <f>IF($M626="","",IF($M626=0,"Out of stock",IF(OR($P626="",$Q626=""),"No window",IF(YEAR(TODAY())&lt;$P626,"Too young",IF(YEAR(TODAY())&gt;$Q626,"Past peak",IF(YEAR(TODAY())=$Q626,"Drink now","Ready"))))))</f>
        <v/>
      </c>
    </row>
    <row r="627">
      <c r="A627" s="32">
        <f>IF($B627="","",IFERROR(IMAGE($B627,4,60,60),""))</f>
        <v/>
      </c>
      <c r="T627" s="68" t="n"/>
      <c r="V627" s="32">
        <f>IF($M627="","",IF($M627=0,"Out of stock",IF(OR($P627="",$Q627=""),"No window",IF(YEAR(TODAY())&lt;$P627,"Too young",IF(YEAR(TODAY())&gt;$Q627,"Past peak",IF(YEAR(TODAY())=$Q627,"Drink now","Ready"))))))</f>
        <v/>
      </c>
    </row>
    <row r="628">
      <c r="A628" s="32">
        <f>IF($B628="","",IFERROR(IMAGE($B628,4,60,60),""))</f>
        <v/>
      </c>
      <c r="T628" s="68" t="n"/>
      <c r="V628" s="32">
        <f>IF($M628="","",IF($M628=0,"Out of stock",IF(OR($P628="",$Q628=""),"No window",IF(YEAR(TODAY())&lt;$P628,"Too young",IF(YEAR(TODAY())&gt;$Q628,"Past peak",IF(YEAR(TODAY())=$Q628,"Drink now","Ready"))))))</f>
        <v/>
      </c>
    </row>
    <row r="629">
      <c r="A629" s="32">
        <f>IF($B629="","",IFERROR(IMAGE($B629,4,60,60),""))</f>
        <v/>
      </c>
      <c r="T629" s="68" t="n"/>
      <c r="V629" s="32">
        <f>IF($M629="","",IF($M629=0,"Out of stock",IF(OR($P629="",$Q629=""),"No window",IF(YEAR(TODAY())&lt;$P629,"Too young",IF(YEAR(TODAY())&gt;$Q629,"Past peak",IF(YEAR(TODAY())=$Q629,"Drink now","Ready"))))))</f>
        <v/>
      </c>
    </row>
    <row r="630">
      <c r="A630" s="32">
        <f>IF($B630="","",IFERROR(IMAGE($B630,4,60,60),""))</f>
        <v/>
      </c>
      <c r="T630" s="68" t="n"/>
      <c r="V630" s="32">
        <f>IF($M630="","",IF($M630=0,"Out of stock",IF(OR($P630="",$Q630=""),"No window",IF(YEAR(TODAY())&lt;$P630,"Too young",IF(YEAR(TODAY())&gt;$Q630,"Past peak",IF(YEAR(TODAY())=$Q630,"Drink now","Ready"))))))</f>
        <v/>
      </c>
    </row>
    <row r="631">
      <c r="A631" s="32">
        <f>IF($B631="","",IFERROR(IMAGE($B631,4,60,60),""))</f>
        <v/>
      </c>
      <c r="T631" s="68" t="n"/>
      <c r="V631" s="32">
        <f>IF($M631="","",IF($M631=0,"Out of stock",IF(OR($P631="",$Q631=""),"No window",IF(YEAR(TODAY())&lt;$P631,"Too young",IF(YEAR(TODAY())&gt;$Q631,"Past peak",IF(YEAR(TODAY())=$Q631,"Drink now","Ready"))))))</f>
        <v/>
      </c>
    </row>
    <row r="632">
      <c r="A632" s="32">
        <f>IF($B632="","",IFERROR(IMAGE($B632,4,60,60),""))</f>
        <v/>
      </c>
      <c r="T632" s="68" t="n"/>
      <c r="V632" s="32">
        <f>IF($M632="","",IF($M632=0,"Out of stock",IF(OR($P632="",$Q632=""),"No window",IF(YEAR(TODAY())&lt;$P632,"Too young",IF(YEAR(TODAY())&gt;$Q632,"Past peak",IF(YEAR(TODAY())=$Q632,"Drink now","Ready"))))))</f>
        <v/>
      </c>
    </row>
    <row r="633">
      <c r="A633" s="32">
        <f>IF($B633="","",IFERROR(IMAGE($B633,4,60,60),""))</f>
        <v/>
      </c>
      <c r="T633" s="68" t="n"/>
      <c r="V633" s="32">
        <f>IF($M633="","",IF($M633=0,"Out of stock",IF(OR($P633="",$Q633=""),"No window",IF(YEAR(TODAY())&lt;$P633,"Too young",IF(YEAR(TODAY())&gt;$Q633,"Past peak",IF(YEAR(TODAY())=$Q633,"Drink now","Ready"))))))</f>
        <v/>
      </c>
    </row>
    <row r="634">
      <c r="A634" s="32">
        <f>IF($B634="","",IFERROR(IMAGE($B634,4,60,60),""))</f>
        <v/>
      </c>
      <c r="T634" s="68" t="n"/>
      <c r="V634" s="32">
        <f>IF($M634="","",IF($M634=0,"Out of stock",IF(OR($P634="",$Q634=""),"No window",IF(YEAR(TODAY())&lt;$P634,"Too young",IF(YEAR(TODAY())&gt;$Q634,"Past peak",IF(YEAR(TODAY())=$Q634,"Drink now","Ready"))))))</f>
        <v/>
      </c>
    </row>
    <row r="635">
      <c r="A635" s="32">
        <f>IF($B635="","",IFERROR(IMAGE($B635,4,60,60),""))</f>
        <v/>
      </c>
      <c r="T635" s="68" t="n"/>
      <c r="V635" s="32">
        <f>IF($M635="","",IF($M635=0,"Out of stock",IF(OR($P635="",$Q635=""),"No window",IF(YEAR(TODAY())&lt;$P635,"Too young",IF(YEAR(TODAY())&gt;$Q635,"Past peak",IF(YEAR(TODAY())=$Q635,"Drink now","Ready"))))))</f>
        <v/>
      </c>
    </row>
    <row r="636">
      <c r="A636" s="32">
        <f>IF($B636="","",IFERROR(IMAGE($B636,4,60,60),""))</f>
        <v/>
      </c>
      <c r="T636" s="68" t="n"/>
      <c r="V636" s="32">
        <f>IF($M636="","",IF($M636=0,"Out of stock",IF(OR($P636="",$Q636=""),"No window",IF(YEAR(TODAY())&lt;$P636,"Too young",IF(YEAR(TODAY())&gt;$Q636,"Past peak",IF(YEAR(TODAY())=$Q636,"Drink now","Ready"))))))</f>
        <v/>
      </c>
    </row>
    <row r="637">
      <c r="A637" s="32">
        <f>IF($B637="","",IFERROR(IMAGE($B637,4,60,60),""))</f>
        <v/>
      </c>
      <c r="T637" s="68" t="n"/>
      <c r="V637" s="32">
        <f>IF($M637="","",IF($M637=0,"Out of stock",IF(OR($P637="",$Q637=""),"No window",IF(YEAR(TODAY())&lt;$P637,"Too young",IF(YEAR(TODAY())&gt;$Q637,"Past peak",IF(YEAR(TODAY())=$Q637,"Drink now","Ready"))))))</f>
        <v/>
      </c>
    </row>
    <row r="638">
      <c r="A638" s="32">
        <f>IF($B638="","",IFERROR(IMAGE($B638,4,60,60),""))</f>
        <v/>
      </c>
      <c r="T638" s="68" t="n"/>
      <c r="V638" s="32">
        <f>IF($M638="","",IF($M638=0,"Out of stock",IF(OR($P638="",$Q638=""),"No window",IF(YEAR(TODAY())&lt;$P638,"Too young",IF(YEAR(TODAY())&gt;$Q638,"Past peak",IF(YEAR(TODAY())=$Q638,"Drink now","Ready"))))))</f>
        <v/>
      </c>
    </row>
    <row r="639">
      <c r="A639" s="32">
        <f>IF($B639="","",IFERROR(IMAGE($B639,4,60,60),""))</f>
        <v/>
      </c>
      <c r="T639" s="68" t="n"/>
      <c r="V639" s="32">
        <f>IF($M639="","",IF($M639=0,"Out of stock",IF(OR($P639="",$Q639=""),"No window",IF(YEAR(TODAY())&lt;$P639,"Too young",IF(YEAR(TODAY())&gt;$Q639,"Past peak",IF(YEAR(TODAY())=$Q639,"Drink now","Ready"))))))</f>
        <v/>
      </c>
    </row>
    <row r="640">
      <c r="A640" s="32">
        <f>IF($B640="","",IFERROR(IMAGE($B640,4,60,60),""))</f>
        <v/>
      </c>
      <c r="T640" s="68" t="n"/>
      <c r="V640" s="32">
        <f>IF($M640="","",IF($M640=0,"Out of stock",IF(OR($P640="",$Q640=""),"No window",IF(YEAR(TODAY())&lt;$P640,"Too young",IF(YEAR(TODAY())&gt;$Q640,"Past peak",IF(YEAR(TODAY())=$Q640,"Drink now","Ready"))))))</f>
        <v/>
      </c>
    </row>
    <row r="641">
      <c r="A641" s="32">
        <f>IF($B641="","",IFERROR(IMAGE($B641,4,60,60),""))</f>
        <v/>
      </c>
      <c r="T641" s="68" t="n"/>
      <c r="V641" s="32">
        <f>IF($M641="","",IF($M641=0,"Out of stock",IF(OR($P641="",$Q641=""),"No window",IF(YEAR(TODAY())&lt;$P641,"Too young",IF(YEAR(TODAY())&gt;$Q641,"Past peak",IF(YEAR(TODAY())=$Q641,"Drink now","Ready"))))))</f>
        <v/>
      </c>
    </row>
    <row r="642">
      <c r="A642" s="32">
        <f>IF($B642="","",IFERROR(IMAGE($B642,4,60,60),""))</f>
        <v/>
      </c>
      <c r="T642" s="68" t="n"/>
      <c r="V642" s="32">
        <f>IF($M642="","",IF($M642=0,"Out of stock",IF(OR($P642="",$Q642=""),"No window",IF(YEAR(TODAY())&lt;$P642,"Too young",IF(YEAR(TODAY())&gt;$Q642,"Past peak",IF(YEAR(TODAY())=$Q642,"Drink now","Ready"))))))</f>
        <v/>
      </c>
    </row>
    <row r="643">
      <c r="A643" s="32">
        <f>IF($B643="","",IFERROR(IMAGE($B643,4,60,60),""))</f>
        <v/>
      </c>
      <c r="T643" s="68" t="n"/>
      <c r="V643" s="32">
        <f>IF($M643="","",IF($M643=0,"Out of stock",IF(OR($P643="",$Q643=""),"No window",IF(YEAR(TODAY())&lt;$P643,"Too young",IF(YEAR(TODAY())&gt;$Q643,"Past peak",IF(YEAR(TODAY())=$Q643,"Drink now","Ready"))))))</f>
        <v/>
      </c>
    </row>
    <row r="644">
      <c r="A644" s="32">
        <f>IF($B644="","",IFERROR(IMAGE($B644,4,60,60),""))</f>
        <v/>
      </c>
      <c r="T644" s="68" t="n"/>
      <c r="V644" s="32">
        <f>IF($M644="","",IF($M644=0,"Out of stock",IF(OR($P644="",$Q644=""),"No window",IF(YEAR(TODAY())&lt;$P644,"Too young",IF(YEAR(TODAY())&gt;$Q644,"Past peak",IF(YEAR(TODAY())=$Q644,"Drink now","Ready"))))))</f>
        <v/>
      </c>
    </row>
    <row r="645">
      <c r="A645" s="32">
        <f>IF($B645="","",IFERROR(IMAGE($B645,4,60,60),""))</f>
        <v/>
      </c>
      <c r="T645" s="68" t="n"/>
      <c r="V645" s="32">
        <f>IF($M645="","",IF($M645=0,"Out of stock",IF(OR($P645="",$Q645=""),"No window",IF(YEAR(TODAY())&lt;$P645,"Too young",IF(YEAR(TODAY())&gt;$Q645,"Past peak",IF(YEAR(TODAY())=$Q645,"Drink now","Ready"))))))</f>
        <v/>
      </c>
    </row>
    <row r="646">
      <c r="A646" s="32">
        <f>IF($B646="","",IFERROR(IMAGE($B646,4,60,60),""))</f>
        <v/>
      </c>
      <c r="T646" s="68" t="n"/>
      <c r="V646" s="32">
        <f>IF($M646="","",IF($M646=0,"Out of stock",IF(OR($P646="",$Q646=""),"No window",IF(YEAR(TODAY())&lt;$P646,"Too young",IF(YEAR(TODAY())&gt;$Q646,"Past peak",IF(YEAR(TODAY())=$Q646,"Drink now","Ready"))))))</f>
        <v/>
      </c>
    </row>
    <row r="647">
      <c r="A647" s="32">
        <f>IF($B647="","",IFERROR(IMAGE($B647,4,60,60),""))</f>
        <v/>
      </c>
      <c r="T647" s="68" t="n"/>
      <c r="V647" s="32">
        <f>IF($M647="","",IF($M647=0,"Out of stock",IF(OR($P647="",$Q647=""),"No window",IF(YEAR(TODAY())&lt;$P647,"Too young",IF(YEAR(TODAY())&gt;$Q647,"Past peak",IF(YEAR(TODAY())=$Q647,"Drink now","Ready"))))))</f>
        <v/>
      </c>
    </row>
    <row r="648">
      <c r="A648" s="32">
        <f>IF($B648="","",IFERROR(IMAGE($B648,4,60,60),""))</f>
        <v/>
      </c>
      <c r="T648" s="68" t="n"/>
      <c r="V648" s="32">
        <f>IF($M648="","",IF($M648=0,"Out of stock",IF(OR($P648="",$Q648=""),"No window",IF(YEAR(TODAY())&lt;$P648,"Too young",IF(YEAR(TODAY())&gt;$Q648,"Past peak",IF(YEAR(TODAY())=$Q648,"Drink now","Ready"))))))</f>
        <v/>
      </c>
    </row>
    <row r="649">
      <c r="A649" s="32">
        <f>IF($B649="","",IFERROR(IMAGE($B649,4,60,60),""))</f>
        <v/>
      </c>
      <c r="T649" s="68" t="n"/>
      <c r="V649" s="32">
        <f>IF($M649="","",IF($M649=0,"Out of stock",IF(OR($P649="",$Q649=""),"No window",IF(YEAR(TODAY())&lt;$P649,"Too young",IF(YEAR(TODAY())&gt;$Q649,"Past peak",IF(YEAR(TODAY())=$Q649,"Drink now","Ready"))))))</f>
        <v/>
      </c>
    </row>
    <row r="650">
      <c r="A650" s="32">
        <f>IF($B650="","",IFERROR(IMAGE($B650,4,60,60),""))</f>
        <v/>
      </c>
      <c r="T650" s="68" t="n"/>
      <c r="V650" s="32">
        <f>IF($M650="","",IF($M650=0,"Out of stock",IF(OR($P650="",$Q650=""),"No window",IF(YEAR(TODAY())&lt;$P650,"Too young",IF(YEAR(TODAY())&gt;$Q650,"Past peak",IF(YEAR(TODAY())=$Q650,"Drink now","Ready"))))))</f>
        <v/>
      </c>
    </row>
    <row r="651">
      <c r="A651" s="32">
        <f>IF($B651="","",IFERROR(IMAGE($B651,4,60,60),""))</f>
        <v/>
      </c>
      <c r="T651" s="68" t="n"/>
      <c r="V651" s="32">
        <f>IF($M651="","",IF($M651=0,"Out of stock",IF(OR($P651="",$Q651=""),"No window",IF(YEAR(TODAY())&lt;$P651,"Too young",IF(YEAR(TODAY())&gt;$Q651,"Past peak",IF(YEAR(TODAY())=$Q651,"Drink now","Ready"))))))</f>
        <v/>
      </c>
    </row>
    <row r="652">
      <c r="A652" s="32">
        <f>IF($B652="","",IFERROR(IMAGE($B652,4,60,60),""))</f>
        <v/>
      </c>
      <c r="T652" s="68" t="n"/>
      <c r="V652" s="32">
        <f>IF($M652="","",IF($M652=0,"Out of stock",IF(OR($P652="",$Q652=""),"No window",IF(YEAR(TODAY())&lt;$P652,"Too young",IF(YEAR(TODAY())&gt;$Q652,"Past peak",IF(YEAR(TODAY())=$Q652,"Drink now","Ready"))))))</f>
        <v/>
      </c>
    </row>
    <row r="653">
      <c r="A653" s="32">
        <f>IF($B653="","",IFERROR(IMAGE($B653,4,60,60),""))</f>
        <v/>
      </c>
      <c r="T653" s="68" t="n"/>
      <c r="V653" s="32">
        <f>IF($M653="","",IF($M653=0,"Out of stock",IF(OR($P653="",$Q653=""),"No window",IF(YEAR(TODAY())&lt;$P653,"Too young",IF(YEAR(TODAY())&gt;$Q653,"Past peak",IF(YEAR(TODAY())=$Q653,"Drink now","Ready"))))))</f>
        <v/>
      </c>
    </row>
    <row r="654">
      <c r="A654" s="32">
        <f>IF($B654="","",IFERROR(IMAGE($B654,4,60,60),""))</f>
        <v/>
      </c>
      <c r="T654" s="68" t="n"/>
      <c r="V654" s="32">
        <f>IF($M654="","",IF($M654=0,"Out of stock",IF(OR($P654="",$Q654=""),"No window",IF(YEAR(TODAY())&lt;$P654,"Too young",IF(YEAR(TODAY())&gt;$Q654,"Past peak",IF(YEAR(TODAY())=$Q654,"Drink now","Ready"))))))</f>
        <v/>
      </c>
    </row>
    <row r="655">
      <c r="A655" s="32">
        <f>IF($B655="","",IFERROR(IMAGE($B655,4,60,60),""))</f>
        <v/>
      </c>
      <c r="T655" s="68" t="n"/>
      <c r="V655" s="32">
        <f>IF($M655="","",IF($M655=0,"Out of stock",IF(OR($P655="",$Q655=""),"No window",IF(YEAR(TODAY())&lt;$P655,"Too young",IF(YEAR(TODAY())&gt;$Q655,"Past peak",IF(YEAR(TODAY())=$Q655,"Drink now","Ready"))))))</f>
        <v/>
      </c>
    </row>
    <row r="656">
      <c r="A656" s="32">
        <f>IF($B656="","",IFERROR(IMAGE($B656,4,60,60),""))</f>
        <v/>
      </c>
      <c r="T656" s="68" t="n"/>
      <c r="V656" s="32">
        <f>IF($M656="","",IF($M656=0,"Out of stock",IF(OR($P656="",$Q656=""),"No window",IF(YEAR(TODAY())&lt;$P656,"Too young",IF(YEAR(TODAY())&gt;$Q656,"Past peak",IF(YEAR(TODAY())=$Q656,"Drink now","Ready"))))))</f>
        <v/>
      </c>
    </row>
    <row r="657">
      <c r="A657" s="32">
        <f>IF($B657="","",IFERROR(IMAGE($B657,4,60,60),""))</f>
        <v/>
      </c>
      <c r="T657" s="68" t="n"/>
      <c r="V657" s="32">
        <f>IF($M657="","",IF($M657=0,"Out of stock",IF(OR($P657="",$Q657=""),"No window",IF(YEAR(TODAY())&lt;$P657,"Too young",IF(YEAR(TODAY())&gt;$Q657,"Past peak",IF(YEAR(TODAY())=$Q657,"Drink now","Ready"))))))</f>
        <v/>
      </c>
    </row>
    <row r="658">
      <c r="A658" s="32">
        <f>IF($B658="","",IFERROR(IMAGE($B658,4,60,60),""))</f>
        <v/>
      </c>
      <c r="T658" s="68" t="n"/>
      <c r="V658" s="32">
        <f>IF($M658="","",IF($M658=0,"Out of stock",IF(OR($P658="",$Q658=""),"No window",IF(YEAR(TODAY())&lt;$P658,"Too young",IF(YEAR(TODAY())&gt;$Q658,"Past peak",IF(YEAR(TODAY())=$Q658,"Drink now","Ready"))))))</f>
        <v/>
      </c>
    </row>
    <row r="659">
      <c r="A659" s="32">
        <f>IF($B659="","",IFERROR(IMAGE($B659,4,60,60),""))</f>
        <v/>
      </c>
      <c r="T659" s="68" t="n"/>
      <c r="V659" s="32">
        <f>IF($M659="","",IF($M659=0,"Out of stock",IF(OR($P659="",$Q659=""),"No window",IF(YEAR(TODAY())&lt;$P659,"Too young",IF(YEAR(TODAY())&gt;$Q659,"Past peak",IF(YEAR(TODAY())=$Q659,"Drink now","Ready"))))))</f>
        <v/>
      </c>
    </row>
    <row r="660">
      <c r="A660" s="32">
        <f>IF($B660="","",IFERROR(IMAGE($B660,4,60,60),""))</f>
        <v/>
      </c>
      <c r="T660" s="68" t="n"/>
      <c r="V660" s="32">
        <f>IF($M660="","",IF($M660=0,"Out of stock",IF(OR($P660="",$Q660=""),"No window",IF(YEAR(TODAY())&lt;$P660,"Too young",IF(YEAR(TODAY())&gt;$Q660,"Past peak",IF(YEAR(TODAY())=$Q660,"Drink now","Ready"))))))</f>
        <v/>
      </c>
    </row>
    <row r="661">
      <c r="A661" s="32">
        <f>IF($B661="","",IFERROR(IMAGE($B661,4,60,60),""))</f>
        <v/>
      </c>
      <c r="T661" s="68" t="n"/>
      <c r="V661" s="32">
        <f>IF($M661="","",IF($M661=0,"Out of stock",IF(OR($P661="",$Q661=""),"No window",IF(YEAR(TODAY())&lt;$P661,"Too young",IF(YEAR(TODAY())&gt;$Q661,"Past peak",IF(YEAR(TODAY())=$Q661,"Drink now","Ready"))))))</f>
        <v/>
      </c>
    </row>
    <row r="662">
      <c r="A662" s="32">
        <f>IF($B662="","",IFERROR(IMAGE($B662,4,60,60),""))</f>
        <v/>
      </c>
      <c r="T662" s="68" t="n"/>
      <c r="V662" s="32">
        <f>IF($M662="","",IF($M662=0,"Out of stock",IF(OR($P662="",$Q662=""),"No window",IF(YEAR(TODAY())&lt;$P662,"Too young",IF(YEAR(TODAY())&gt;$Q662,"Past peak",IF(YEAR(TODAY())=$Q662,"Drink now","Ready"))))))</f>
        <v/>
      </c>
    </row>
    <row r="663">
      <c r="A663" s="32">
        <f>IF($B663="","",IFERROR(IMAGE($B663,4,60,60),""))</f>
        <v/>
      </c>
      <c r="T663" s="68" t="n"/>
      <c r="V663" s="32">
        <f>IF($M663="","",IF($M663=0,"Out of stock",IF(OR($P663="",$Q663=""),"No window",IF(YEAR(TODAY())&lt;$P663,"Too young",IF(YEAR(TODAY())&gt;$Q663,"Past peak",IF(YEAR(TODAY())=$Q663,"Drink now","Ready"))))))</f>
        <v/>
      </c>
    </row>
    <row r="664">
      <c r="A664" s="32">
        <f>IF($B664="","",IFERROR(IMAGE($B664,4,60,60),""))</f>
        <v/>
      </c>
      <c r="T664" s="68" t="n"/>
      <c r="V664" s="32">
        <f>IF($M664="","",IF($M664=0,"Out of stock",IF(OR($P664="",$Q664=""),"No window",IF(YEAR(TODAY())&lt;$P664,"Too young",IF(YEAR(TODAY())&gt;$Q664,"Past peak",IF(YEAR(TODAY())=$Q664,"Drink now","Ready"))))))</f>
        <v/>
      </c>
    </row>
    <row r="665">
      <c r="A665" s="32">
        <f>IF($B665="","",IFERROR(IMAGE($B665,4,60,60),""))</f>
        <v/>
      </c>
      <c r="T665" s="68" t="n"/>
      <c r="V665" s="32">
        <f>IF($M665="","",IF($M665=0,"Out of stock",IF(OR($P665="",$Q665=""),"No window",IF(YEAR(TODAY())&lt;$P665,"Too young",IF(YEAR(TODAY())&gt;$Q665,"Past peak",IF(YEAR(TODAY())=$Q665,"Drink now","Ready"))))))</f>
        <v/>
      </c>
    </row>
    <row r="666">
      <c r="A666" s="32">
        <f>IF($B666="","",IFERROR(IMAGE($B666,4,60,60),""))</f>
        <v/>
      </c>
      <c r="T666" s="68" t="n"/>
      <c r="V666" s="32">
        <f>IF($M666="","",IF($M666=0,"Out of stock",IF(OR($P666="",$Q666=""),"No window",IF(YEAR(TODAY())&lt;$P666,"Too young",IF(YEAR(TODAY())&gt;$Q666,"Past peak",IF(YEAR(TODAY())=$Q666,"Drink now","Ready"))))))</f>
        <v/>
      </c>
    </row>
    <row r="667">
      <c r="A667" s="32">
        <f>IF($B667="","",IFERROR(IMAGE($B667,4,60,60),""))</f>
        <v/>
      </c>
      <c r="T667" s="68" t="n"/>
      <c r="V667" s="32">
        <f>IF($M667="","",IF($M667=0,"Out of stock",IF(OR($P667="",$Q667=""),"No window",IF(YEAR(TODAY())&lt;$P667,"Too young",IF(YEAR(TODAY())&gt;$Q667,"Past peak",IF(YEAR(TODAY())=$Q667,"Drink now","Ready"))))))</f>
        <v/>
      </c>
    </row>
    <row r="668">
      <c r="A668" s="32">
        <f>IF($B668="","",IFERROR(IMAGE($B668,4,60,60),""))</f>
        <v/>
      </c>
      <c r="T668" s="68" t="n"/>
      <c r="V668" s="32">
        <f>IF($M668="","",IF($M668=0,"Out of stock",IF(OR($P668="",$Q668=""),"No window",IF(YEAR(TODAY())&lt;$P668,"Too young",IF(YEAR(TODAY())&gt;$Q668,"Past peak",IF(YEAR(TODAY())=$Q668,"Drink now","Ready"))))))</f>
        <v/>
      </c>
    </row>
    <row r="669">
      <c r="A669" s="32">
        <f>IF($B669="","",IFERROR(IMAGE($B669,4,60,60),""))</f>
        <v/>
      </c>
      <c r="T669" s="68" t="n"/>
      <c r="V669" s="32">
        <f>IF($M669="","",IF($M669=0,"Out of stock",IF(OR($P669="",$Q669=""),"No window",IF(YEAR(TODAY())&lt;$P669,"Too young",IF(YEAR(TODAY())&gt;$Q669,"Past peak",IF(YEAR(TODAY())=$Q669,"Drink now","Ready"))))))</f>
        <v/>
      </c>
    </row>
    <row r="670">
      <c r="A670" s="32">
        <f>IF($B670="","",IFERROR(IMAGE($B670,4,60,60),""))</f>
        <v/>
      </c>
      <c r="T670" s="68" t="n"/>
      <c r="V670" s="32">
        <f>IF($M670="","",IF($M670=0,"Out of stock",IF(OR($P670="",$Q670=""),"No window",IF(YEAR(TODAY())&lt;$P670,"Too young",IF(YEAR(TODAY())&gt;$Q670,"Past peak",IF(YEAR(TODAY())=$Q670,"Drink now","Ready"))))))</f>
        <v/>
      </c>
    </row>
    <row r="671">
      <c r="A671" s="32">
        <f>IF($B671="","",IFERROR(IMAGE($B671,4,60,60),""))</f>
        <v/>
      </c>
      <c r="T671" s="68" t="n"/>
      <c r="V671" s="32">
        <f>IF($M671="","",IF($M671=0,"Out of stock",IF(OR($P671="",$Q671=""),"No window",IF(YEAR(TODAY())&lt;$P671,"Too young",IF(YEAR(TODAY())&gt;$Q671,"Past peak",IF(YEAR(TODAY())=$Q671,"Drink now","Ready"))))))</f>
        <v/>
      </c>
    </row>
    <row r="672">
      <c r="A672" s="32">
        <f>IF($B672="","",IFERROR(IMAGE($B672,4,60,60),""))</f>
        <v/>
      </c>
      <c r="T672" s="68" t="n"/>
      <c r="V672" s="32">
        <f>IF($M672="","",IF($M672=0,"Out of stock",IF(OR($P672="",$Q672=""),"No window",IF(YEAR(TODAY())&lt;$P672,"Too young",IF(YEAR(TODAY())&gt;$Q672,"Past peak",IF(YEAR(TODAY())=$Q672,"Drink now","Ready"))))))</f>
        <v/>
      </c>
    </row>
    <row r="673">
      <c r="A673" s="32">
        <f>IF($B673="","",IFERROR(IMAGE($B673,4,60,60),""))</f>
        <v/>
      </c>
      <c r="T673" s="68" t="n"/>
      <c r="V673" s="32">
        <f>IF($M673="","",IF($M673=0,"Out of stock",IF(OR($P673="",$Q673=""),"No window",IF(YEAR(TODAY())&lt;$P673,"Too young",IF(YEAR(TODAY())&gt;$Q673,"Past peak",IF(YEAR(TODAY())=$Q673,"Drink now","Ready"))))))</f>
        <v/>
      </c>
    </row>
    <row r="674">
      <c r="A674" s="32">
        <f>IF($B674="","",IFERROR(IMAGE($B674,4,60,60),""))</f>
        <v/>
      </c>
      <c r="T674" s="68" t="n"/>
      <c r="V674" s="32">
        <f>IF($M674="","",IF($M674=0,"Out of stock",IF(OR($P674="",$Q674=""),"No window",IF(YEAR(TODAY())&lt;$P674,"Too young",IF(YEAR(TODAY())&gt;$Q674,"Past peak",IF(YEAR(TODAY())=$Q674,"Drink now","Ready"))))))</f>
        <v/>
      </c>
    </row>
    <row r="675">
      <c r="A675" s="32">
        <f>IF($B675="","",IFERROR(IMAGE($B675,4,60,60),""))</f>
        <v/>
      </c>
      <c r="T675" s="68" t="n"/>
      <c r="V675" s="32">
        <f>IF($M675="","",IF($M675=0,"Out of stock",IF(OR($P675="",$Q675=""),"No window",IF(YEAR(TODAY())&lt;$P675,"Too young",IF(YEAR(TODAY())&gt;$Q675,"Past peak",IF(YEAR(TODAY())=$Q675,"Drink now","Ready"))))))</f>
        <v/>
      </c>
    </row>
    <row r="676">
      <c r="A676" s="32">
        <f>IF($B676="","",IFERROR(IMAGE($B676,4,60,60),""))</f>
        <v/>
      </c>
      <c r="T676" s="68" t="n"/>
      <c r="V676" s="32">
        <f>IF($M676="","",IF($M676=0,"Out of stock",IF(OR($P676="",$Q676=""),"No window",IF(YEAR(TODAY())&lt;$P676,"Too young",IF(YEAR(TODAY())&gt;$Q676,"Past peak",IF(YEAR(TODAY())=$Q676,"Drink now","Ready"))))))</f>
        <v/>
      </c>
    </row>
    <row r="677">
      <c r="A677" s="32">
        <f>IF($B677="","",IFERROR(IMAGE($B677,4,60,60),""))</f>
        <v/>
      </c>
      <c r="T677" s="68" t="n"/>
      <c r="V677" s="32">
        <f>IF($M677="","",IF($M677=0,"Out of stock",IF(OR($P677="",$Q677=""),"No window",IF(YEAR(TODAY())&lt;$P677,"Too young",IF(YEAR(TODAY())&gt;$Q677,"Past peak",IF(YEAR(TODAY())=$Q677,"Drink now","Ready"))))))</f>
        <v/>
      </c>
    </row>
    <row r="678">
      <c r="A678" s="32">
        <f>IF($B678="","",IFERROR(IMAGE($B678,4,60,60),""))</f>
        <v/>
      </c>
      <c r="T678" s="68" t="n"/>
      <c r="V678" s="32">
        <f>IF($M678="","",IF($M678=0,"Out of stock",IF(OR($P678="",$Q678=""),"No window",IF(YEAR(TODAY())&lt;$P678,"Too young",IF(YEAR(TODAY())&gt;$Q678,"Past peak",IF(YEAR(TODAY())=$Q678,"Drink now","Ready"))))))</f>
        <v/>
      </c>
    </row>
    <row r="679">
      <c r="A679" s="32">
        <f>IF($B679="","",IFERROR(IMAGE($B679,4,60,60),""))</f>
        <v/>
      </c>
      <c r="T679" s="68" t="n"/>
      <c r="V679" s="32">
        <f>IF($M679="","",IF($M679=0,"Out of stock",IF(OR($P679="",$Q679=""),"No window",IF(YEAR(TODAY())&lt;$P679,"Too young",IF(YEAR(TODAY())&gt;$Q679,"Past peak",IF(YEAR(TODAY())=$Q679,"Drink now","Ready"))))))</f>
        <v/>
      </c>
    </row>
    <row r="680">
      <c r="A680" s="32">
        <f>IF($B680="","",IFERROR(IMAGE($B680,4,60,60),""))</f>
        <v/>
      </c>
      <c r="T680" s="68" t="n"/>
      <c r="V680" s="32">
        <f>IF($M680="","",IF($M680=0,"Out of stock",IF(OR($P680="",$Q680=""),"No window",IF(YEAR(TODAY())&lt;$P680,"Too young",IF(YEAR(TODAY())&gt;$Q680,"Past peak",IF(YEAR(TODAY())=$Q680,"Drink now","Ready"))))))</f>
        <v/>
      </c>
    </row>
    <row r="681">
      <c r="A681" s="32">
        <f>IF($B681="","",IFERROR(IMAGE($B681,4,60,60),""))</f>
        <v/>
      </c>
      <c r="T681" s="68" t="n"/>
      <c r="V681" s="32">
        <f>IF($M681="","",IF($M681=0,"Out of stock",IF(OR($P681="",$Q681=""),"No window",IF(YEAR(TODAY())&lt;$P681,"Too young",IF(YEAR(TODAY())&gt;$Q681,"Past peak",IF(YEAR(TODAY())=$Q681,"Drink now","Ready"))))))</f>
        <v/>
      </c>
    </row>
    <row r="682">
      <c r="A682" s="32">
        <f>IF($B682="","",IFERROR(IMAGE($B682,4,60,60),""))</f>
        <v/>
      </c>
      <c r="T682" s="68" t="n"/>
      <c r="V682" s="32">
        <f>IF($M682="","",IF($M682=0,"Out of stock",IF(OR($P682="",$Q682=""),"No window",IF(YEAR(TODAY())&lt;$P682,"Too young",IF(YEAR(TODAY())&gt;$Q682,"Past peak",IF(YEAR(TODAY())=$Q682,"Drink now","Ready"))))))</f>
        <v/>
      </c>
    </row>
    <row r="683">
      <c r="A683" s="32">
        <f>IF($B683="","",IFERROR(IMAGE($B683,4,60,60),""))</f>
        <v/>
      </c>
      <c r="T683" s="68" t="n"/>
      <c r="V683" s="32">
        <f>IF($M683="","",IF($M683=0,"Out of stock",IF(OR($P683="",$Q683=""),"No window",IF(YEAR(TODAY())&lt;$P683,"Too young",IF(YEAR(TODAY())&gt;$Q683,"Past peak",IF(YEAR(TODAY())=$Q683,"Drink now","Ready"))))))</f>
        <v/>
      </c>
    </row>
    <row r="684">
      <c r="A684" s="32">
        <f>IF($B684="","",IFERROR(IMAGE($B684,4,60,60),""))</f>
        <v/>
      </c>
      <c r="T684" s="68" t="n"/>
      <c r="V684" s="32">
        <f>IF($M684="","",IF($M684=0,"Out of stock",IF(OR($P684="",$Q684=""),"No window",IF(YEAR(TODAY())&lt;$P684,"Too young",IF(YEAR(TODAY())&gt;$Q684,"Past peak",IF(YEAR(TODAY())=$Q684,"Drink now","Ready"))))))</f>
        <v/>
      </c>
    </row>
    <row r="685">
      <c r="A685" s="32">
        <f>IF($B685="","",IFERROR(IMAGE($B685,4,60,60),""))</f>
        <v/>
      </c>
      <c r="T685" s="68" t="n"/>
      <c r="V685" s="32">
        <f>IF($M685="","",IF($M685=0,"Out of stock",IF(OR($P685="",$Q685=""),"No window",IF(YEAR(TODAY())&lt;$P685,"Too young",IF(YEAR(TODAY())&gt;$Q685,"Past peak",IF(YEAR(TODAY())=$Q685,"Drink now","Ready"))))))</f>
        <v/>
      </c>
    </row>
    <row r="686">
      <c r="A686" s="32">
        <f>IF($B686="","",IFERROR(IMAGE($B686,4,60,60),""))</f>
        <v/>
      </c>
      <c r="T686" s="68" t="n"/>
      <c r="V686" s="32">
        <f>IF($M686="","",IF($M686=0,"Out of stock",IF(OR($P686="",$Q686=""),"No window",IF(YEAR(TODAY())&lt;$P686,"Too young",IF(YEAR(TODAY())&gt;$Q686,"Past peak",IF(YEAR(TODAY())=$Q686,"Drink now","Ready"))))))</f>
        <v/>
      </c>
    </row>
    <row r="687">
      <c r="A687" s="32">
        <f>IF($B687="","",IFERROR(IMAGE($B687,4,60,60),""))</f>
        <v/>
      </c>
      <c r="T687" s="68" t="n"/>
      <c r="V687" s="32">
        <f>IF($M687="","",IF($M687=0,"Out of stock",IF(OR($P687="",$Q687=""),"No window",IF(YEAR(TODAY())&lt;$P687,"Too young",IF(YEAR(TODAY())&gt;$Q687,"Past peak",IF(YEAR(TODAY())=$Q687,"Drink now","Ready"))))))</f>
        <v/>
      </c>
    </row>
    <row r="688">
      <c r="A688" s="32">
        <f>IF($B688="","",IFERROR(IMAGE($B688,4,60,60),""))</f>
        <v/>
      </c>
      <c r="T688" s="68" t="n"/>
      <c r="V688" s="32">
        <f>IF($M688="","",IF($M688=0,"Out of stock",IF(OR($P688="",$Q688=""),"No window",IF(YEAR(TODAY())&lt;$P688,"Too young",IF(YEAR(TODAY())&gt;$Q688,"Past peak",IF(YEAR(TODAY())=$Q688,"Drink now","Ready"))))))</f>
        <v/>
      </c>
    </row>
    <row r="689">
      <c r="A689" s="32">
        <f>IF($B689="","",IFERROR(IMAGE($B689,4,60,60),""))</f>
        <v/>
      </c>
      <c r="T689" s="68" t="n"/>
      <c r="V689" s="32">
        <f>IF($M689="","",IF($M689=0,"Out of stock",IF(OR($P689="",$Q689=""),"No window",IF(YEAR(TODAY())&lt;$P689,"Too young",IF(YEAR(TODAY())&gt;$Q689,"Past peak",IF(YEAR(TODAY())=$Q689,"Drink now","Ready"))))))</f>
        <v/>
      </c>
    </row>
    <row r="690">
      <c r="A690" s="32">
        <f>IF($B690="","",IFERROR(IMAGE($B690,4,60,60),""))</f>
        <v/>
      </c>
      <c r="T690" s="68" t="n"/>
      <c r="V690" s="32">
        <f>IF($M690="","",IF($M690=0,"Out of stock",IF(OR($P690="",$Q690=""),"No window",IF(YEAR(TODAY())&lt;$P690,"Too young",IF(YEAR(TODAY())&gt;$Q690,"Past peak",IF(YEAR(TODAY())=$Q690,"Drink now","Ready"))))))</f>
        <v/>
      </c>
    </row>
    <row r="691">
      <c r="A691" s="32">
        <f>IF($B691="","",IFERROR(IMAGE($B691,4,60,60),""))</f>
        <v/>
      </c>
      <c r="T691" s="68" t="n"/>
      <c r="V691" s="32">
        <f>IF($M691="","",IF($M691=0,"Out of stock",IF(OR($P691="",$Q691=""),"No window",IF(YEAR(TODAY())&lt;$P691,"Too young",IF(YEAR(TODAY())&gt;$Q691,"Past peak",IF(YEAR(TODAY())=$Q691,"Drink now","Ready"))))))</f>
        <v/>
      </c>
    </row>
    <row r="692">
      <c r="A692" s="32">
        <f>IF($B692="","",IFERROR(IMAGE($B692,4,60,60),""))</f>
        <v/>
      </c>
      <c r="T692" s="68" t="n"/>
      <c r="V692" s="32">
        <f>IF($M692="","",IF($M692=0,"Out of stock",IF(OR($P692="",$Q692=""),"No window",IF(YEAR(TODAY())&lt;$P692,"Too young",IF(YEAR(TODAY())&gt;$Q692,"Past peak",IF(YEAR(TODAY())=$Q692,"Drink now","Ready"))))))</f>
        <v/>
      </c>
    </row>
    <row r="693">
      <c r="A693" s="32">
        <f>IF($B693="","",IFERROR(IMAGE($B693,4,60,60),""))</f>
        <v/>
      </c>
      <c r="T693" s="68" t="n"/>
      <c r="V693" s="32">
        <f>IF($M693="","",IF($M693=0,"Out of stock",IF(OR($P693="",$Q693=""),"No window",IF(YEAR(TODAY())&lt;$P693,"Too young",IF(YEAR(TODAY())&gt;$Q693,"Past peak",IF(YEAR(TODAY())=$Q693,"Drink now","Ready"))))))</f>
        <v/>
      </c>
    </row>
    <row r="694">
      <c r="A694" s="32">
        <f>IF($B694="","",IFERROR(IMAGE($B694,4,60,60),""))</f>
        <v/>
      </c>
      <c r="T694" s="68" t="n"/>
      <c r="V694" s="32">
        <f>IF($M694="","",IF($M694=0,"Out of stock",IF(OR($P694="",$Q694=""),"No window",IF(YEAR(TODAY())&lt;$P694,"Too young",IF(YEAR(TODAY())&gt;$Q694,"Past peak",IF(YEAR(TODAY())=$Q694,"Drink now","Ready"))))))</f>
        <v/>
      </c>
    </row>
    <row r="695">
      <c r="A695" s="32">
        <f>IF($B695="","",IFERROR(IMAGE($B695,4,60,60),""))</f>
        <v/>
      </c>
      <c r="T695" s="68" t="n"/>
      <c r="V695" s="32">
        <f>IF($M695="","",IF($M695=0,"Out of stock",IF(OR($P695="",$Q695=""),"No window",IF(YEAR(TODAY())&lt;$P695,"Too young",IF(YEAR(TODAY())&gt;$Q695,"Past peak",IF(YEAR(TODAY())=$Q695,"Drink now","Ready"))))))</f>
        <v/>
      </c>
    </row>
    <row r="696">
      <c r="A696" s="32">
        <f>IF($B696="","",IFERROR(IMAGE($B696,4,60,60),""))</f>
        <v/>
      </c>
      <c r="T696" s="68" t="n"/>
      <c r="V696" s="32">
        <f>IF($M696="","",IF($M696=0,"Out of stock",IF(OR($P696="",$Q696=""),"No window",IF(YEAR(TODAY())&lt;$P696,"Too young",IF(YEAR(TODAY())&gt;$Q696,"Past peak",IF(YEAR(TODAY())=$Q696,"Drink now","Ready"))))))</f>
        <v/>
      </c>
    </row>
    <row r="697">
      <c r="A697" s="32">
        <f>IF($B697="","",IFERROR(IMAGE($B697,4,60,60),""))</f>
        <v/>
      </c>
      <c r="T697" s="68" t="n"/>
      <c r="V697" s="32">
        <f>IF($M697="","",IF($M697=0,"Out of stock",IF(OR($P697="",$Q697=""),"No window",IF(YEAR(TODAY())&lt;$P697,"Too young",IF(YEAR(TODAY())&gt;$Q697,"Past peak",IF(YEAR(TODAY())=$Q697,"Drink now","Ready"))))))</f>
        <v/>
      </c>
    </row>
    <row r="698">
      <c r="A698" s="32">
        <f>IF($B698="","",IFERROR(IMAGE($B698,4,60,60),""))</f>
        <v/>
      </c>
      <c r="T698" s="68" t="n"/>
      <c r="V698" s="32">
        <f>IF($M698="","",IF($M698=0,"Out of stock",IF(OR($P698="",$Q698=""),"No window",IF(YEAR(TODAY())&lt;$P698,"Too young",IF(YEAR(TODAY())&gt;$Q698,"Past peak",IF(YEAR(TODAY())=$Q698,"Drink now","Ready"))))))</f>
        <v/>
      </c>
    </row>
    <row r="699">
      <c r="A699" s="32">
        <f>IF($B699="","",IFERROR(IMAGE($B699,4,60,60),""))</f>
        <v/>
      </c>
      <c r="T699" s="68" t="n"/>
      <c r="V699" s="32">
        <f>IF($M699="","",IF($M699=0,"Out of stock",IF(OR($P699="",$Q699=""),"No window",IF(YEAR(TODAY())&lt;$P699,"Too young",IF(YEAR(TODAY())&gt;$Q699,"Past peak",IF(YEAR(TODAY())=$Q699,"Drink now","Ready"))))))</f>
        <v/>
      </c>
    </row>
    <row r="700">
      <c r="A700" s="32">
        <f>IF($B700="","",IFERROR(IMAGE($B700,4,60,60),""))</f>
        <v/>
      </c>
      <c r="T700" s="68" t="n"/>
      <c r="V700" s="32">
        <f>IF($M700="","",IF($M700=0,"Out of stock",IF(OR($P700="",$Q700=""),"No window",IF(YEAR(TODAY())&lt;$P700,"Too young",IF(YEAR(TODAY())&gt;$Q700,"Past peak",IF(YEAR(TODAY())=$Q700,"Drink now","Ready"))))))</f>
        <v/>
      </c>
    </row>
    <row r="701">
      <c r="A701" s="32">
        <f>IF($B701="","",IFERROR(IMAGE($B701,4,60,60),""))</f>
        <v/>
      </c>
      <c r="T701" s="68" t="n"/>
      <c r="V701" s="32">
        <f>IF($M701="","",IF($M701=0,"Out of stock",IF(OR($P701="",$Q701=""),"No window",IF(YEAR(TODAY())&lt;$P701,"Too young",IF(YEAR(TODAY())&gt;$Q701,"Past peak",IF(YEAR(TODAY())=$Q701,"Drink now","Ready"))))))</f>
        <v/>
      </c>
    </row>
    <row r="702">
      <c r="A702" s="32">
        <f>IF($B702="","",IFERROR(IMAGE($B702,4,60,60),""))</f>
        <v/>
      </c>
      <c r="T702" s="68" t="n"/>
      <c r="V702" s="32">
        <f>IF($M702="","",IF($M702=0,"Out of stock",IF(OR($P702="",$Q702=""),"No window",IF(YEAR(TODAY())&lt;$P702,"Too young",IF(YEAR(TODAY())&gt;$Q702,"Past peak",IF(YEAR(TODAY())=$Q702,"Drink now","Ready"))))))</f>
        <v/>
      </c>
    </row>
    <row r="703">
      <c r="A703" s="32">
        <f>IF($B703="","",IFERROR(IMAGE($B703,4,60,60),""))</f>
        <v/>
      </c>
      <c r="T703" s="68" t="n"/>
      <c r="V703" s="32">
        <f>IF($M703="","",IF($M703=0,"Out of stock",IF(OR($P703="",$Q703=""),"No window",IF(YEAR(TODAY())&lt;$P703,"Too young",IF(YEAR(TODAY())&gt;$Q703,"Past peak",IF(YEAR(TODAY())=$Q703,"Drink now","Ready"))))))</f>
        <v/>
      </c>
    </row>
    <row r="704">
      <c r="A704" s="32">
        <f>IF($B704="","",IFERROR(IMAGE($B704,4,60,60),""))</f>
        <v/>
      </c>
      <c r="T704" s="68" t="n"/>
      <c r="V704" s="32">
        <f>IF($M704="","",IF($M704=0,"Out of stock",IF(OR($P704="",$Q704=""),"No window",IF(YEAR(TODAY())&lt;$P704,"Too young",IF(YEAR(TODAY())&gt;$Q704,"Past peak",IF(YEAR(TODAY())=$Q704,"Drink now","Ready"))))))</f>
        <v/>
      </c>
    </row>
    <row r="705">
      <c r="A705" s="32">
        <f>IF($B705="","",IFERROR(IMAGE($B705,4,60,60),""))</f>
        <v/>
      </c>
      <c r="T705" s="68" t="n"/>
      <c r="V705" s="32">
        <f>IF($M705="","",IF($M705=0,"Out of stock",IF(OR($P705="",$Q705=""),"No window",IF(YEAR(TODAY())&lt;$P705,"Too young",IF(YEAR(TODAY())&gt;$Q705,"Past peak",IF(YEAR(TODAY())=$Q705,"Drink now","Ready"))))))</f>
        <v/>
      </c>
    </row>
    <row r="706">
      <c r="A706" s="32">
        <f>IF($B706="","",IFERROR(IMAGE($B706,4,60,60),""))</f>
        <v/>
      </c>
      <c r="T706" s="68" t="n"/>
      <c r="V706" s="32">
        <f>IF($M706="","",IF($M706=0,"Out of stock",IF(OR($P706="",$Q706=""),"No window",IF(YEAR(TODAY())&lt;$P706,"Too young",IF(YEAR(TODAY())&gt;$Q706,"Past peak",IF(YEAR(TODAY())=$Q706,"Drink now","Ready"))))))</f>
        <v/>
      </c>
    </row>
    <row r="707">
      <c r="A707" s="32">
        <f>IF($B707="","",IFERROR(IMAGE($B707,4,60,60),""))</f>
        <v/>
      </c>
      <c r="T707" s="68" t="n"/>
      <c r="V707" s="32">
        <f>IF($M707="","",IF($M707=0,"Out of stock",IF(OR($P707="",$Q707=""),"No window",IF(YEAR(TODAY())&lt;$P707,"Too young",IF(YEAR(TODAY())&gt;$Q707,"Past peak",IF(YEAR(TODAY())=$Q707,"Drink now","Ready"))))))</f>
        <v/>
      </c>
    </row>
    <row r="708">
      <c r="A708" s="32">
        <f>IF($B708="","",IFERROR(IMAGE($B708,4,60,60),""))</f>
        <v/>
      </c>
      <c r="T708" s="68" t="n"/>
      <c r="V708" s="32">
        <f>IF($M708="","",IF($M708=0,"Out of stock",IF(OR($P708="",$Q708=""),"No window",IF(YEAR(TODAY())&lt;$P708,"Too young",IF(YEAR(TODAY())&gt;$Q708,"Past peak",IF(YEAR(TODAY())=$Q708,"Drink now","Ready"))))))</f>
        <v/>
      </c>
    </row>
    <row r="709">
      <c r="A709" s="32">
        <f>IF($B709="","",IFERROR(IMAGE($B709,4,60,60),""))</f>
        <v/>
      </c>
      <c r="T709" s="68" t="n"/>
      <c r="V709" s="32">
        <f>IF($M709="","",IF($M709=0,"Out of stock",IF(OR($P709="",$Q709=""),"No window",IF(YEAR(TODAY())&lt;$P709,"Too young",IF(YEAR(TODAY())&gt;$Q709,"Past peak",IF(YEAR(TODAY())=$Q709,"Drink now","Ready"))))))</f>
        <v/>
      </c>
    </row>
    <row r="710">
      <c r="A710" s="32">
        <f>IF($B710="","",IFERROR(IMAGE($B710,4,60,60),""))</f>
        <v/>
      </c>
      <c r="T710" s="68" t="n"/>
      <c r="V710" s="32">
        <f>IF($M710="","",IF($M710=0,"Out of stock",IF(OR($P710="",$Q710=""),"No window",IF(YEAR(TODAY())&lt;$P710,"Too young",IF(YEAR(TODAY())&gt;$Q710,"Past peak",IF(YEAR(TODAY())=$Q710,"Drink now","Ready"))))))</f>
        <v/>
      </c>
    </row>
    <row r="711">
      <c r="A711" s="32">
        <f>IF($B711="","",IFERROR(IMAGE($B711,4,60,60),""))</f>
        <v/>
      </c>
      <c r="T711" s="68" t="n"/>
      <c r="V711" s="32">
        <f>IF($M711="","",IF($M711=0,"Out of stock",IF(OR($P711="",$Q711=""),"No window",IF(YEAR(TODAY())&lt;$P711,"Too young",IF(YEAR(TODAY())&gt;$Q711,"Past peak",IF(YEAR(TODAY())=$Q711,"Drink now","Ready"))))))</f>
        <v/>
      </c>
    </row>
    <row r="712">
      <c r="A712" s="32">
        <f>IF($B712="","",IFERROR(IMAGE($B712,4,60,60),""))</f>
        <v/>
      </c>
      <c r="T712" s="68" t="n"/>
      <c r="V712" s="32">
        <f>IF($M712="","",IF($M712=0,"Out of stock",IF(OR($P712="",$Q712=""),"No window",IF(YEAR(TODAY())&lt;$P712,"Too young",IF(YEAR(TODAY())&gt;$Q712,"Past peak",IF(YEAR(TODAY())=$Q712,"Drink now","Ready"))))))</f>
        <v/>
      </c>
    </row>
    <row r="713">
      <c r="A713" s="32">
        <f>IF($B713="","",IFERROR(IMAGE($B713,4,60,60),""))</f>
        <v/>
      </c>
      <c r="T713" s="68" t="n"/>
      <c r="V713" s="32">
        <f>IF($M713="","",IF($M713=0,"Out of stock",IF(OR($P713="",$Q713=""),"No window",IF(YEAR(TODAY())&lt;$P713,"Too young",IF(YEAR(TODAY())&gt;$Q713,"Past peak",IF(YEAR(TODAY())=$Q713,"Drink now","Ready"))))))</f>
        <v/>
      </c>
    </row>
    <row r="714">
      <c r="A714" s="32">
        <f>IF($B714="","",IFERROR(IMAGE($B714,4,60,60),""))</f>
        <v/>
      </c>
      <c r="T714" s="68" t="n"/>
      <c r="V714" s="32">
        <f>IF($M714="","",IF($M714=0,"Out of stock",IF(OR($P714="",$Q714=""),"No window",IF(YEAR(TODAY())&lt;$P714,"Too young",IF(YEAR(TODAY())&gt;$Q714,"Past peak",IF(YEAR(TODAY())=$Q714,"Drink now","Ready"))))))</f>
        <v/>
      </c>
    </row>
    <row r="715">
      <c r="A715" s="32">
        <f>IF($B715="","",IFERROR(IMAGE($B715,4,60,60),""))</f>
        <v/>
      </c>
      <c r="T715" s="68" t="n"/>
      <c r="V715" s="32">
        <f>IF($M715="","",IF($M715=0,"Out of stock",IF(OR($P715="",$Q715=""),"No window",IF(YEAR(TODAY())&lt;$P715,"Too young",IF(YEAR(TODAY())&gt;$Q715,"Past peak",IF(YEAR(TODAY())=$Q715,"Drink now","Ready"))))))</f>
        <v/>
      </c>
    </row>
    <row r="716">
      <c r="A716" s="32">
        <f>IF($B716="","",IFERROR(IMAGE($B716,4,60,60),""))</f>
        <v/>
      </c>
      <c r="T716" s="68" t="n"/>
      <c r="V716" s="32">
        <f>IF($M716="","",IF($M716=0,"Out of stock",IF(OR($P716="",$Q716=""),"No window",IF(YEAR(TODAY())&lt;$P716,"Too young",IF(YEAR(TODAY())&gt;$Q716,"Past peak",IF(YEAR(TODAY())=$Q716,"Drink now","Ready"))))))</f>
        <v/>
      </c>
    </row>
    <row r="717">
      <c r="A717" s="32">
        <f>IF($B717="","",IFERROR(IMAGE($B717,4,60,60),""))</f>
        <v/>
      </c>
      <c r="T717" s="68" t="n"/>
      <c r="V717" s="32">
        <f>IF($M717="","",IF($M717=0,"Out of stock",IF(OR($P717="",$Q717=""),"No window",IF(YEAR(TODAY())&lt;$P717,"Too young",IF(YEAR(TODAY())&gt;$Q717,"Past peak",IF(YEAR(TODAY())=$Q717,"Drink now","Ready"))))))</f>
        <v/>
      </c>
    </row>
    <row r="718">
      <c r="A718" s="32">
        <f>IF($B718="","",IFERROR(IMAGE($B718,4,60,60),""))</f>
        <v/>
      </c>
      <c r="T718" s="68" t="n"/>
      <c r="V718" s="32">
        <f>IF($M718="","",IF($M718=0,"Out of stock",IF(OR($P718="",$Q718=""),"No window",IF(YEAR(TODAY())&lt;$P718,"Too young",IF(YEAR(TODAY())&gt;$Q718,"Past peak",IF(YEAR(TODAY())=$Q718,"Drink now","Ready"))))))</f>
        <v/>
      </c>
    </row>
    <row r="719">
      <c r="A719" s="32">
        <f>IF($B719="","",IFERROR(IMAGE($B719,4,60,60),""))</f>
        <v/>
      </c>
      <c r="T719" s="68" t="n"/>
      <c r="V719" s="32">
        <f>IF($M719="","",IF($M719=0,"Out of stock",IF(OR($P719="",$Q719=""),"No window",IF(YEAR(TODAY())&lt;$P719,"Too young",IF(YEAR(TODAY())&gt;$Q719,"Past peak",IF(YEAR(TODAY())=$Q719,"Drink now","Ready"))))))</f>
        <v/>
      </c>
    </row>
    <row r="720">
      <c r="A720" s="32">
        <f>IF($B720="","",IFERROR(IMAGE($B720,4,60,60),""))</f>
        <v/>
      </c>
      <c r="T720" s="68" t="n"/>
      <c r="V720" s="32">
        <f>IF($M720="","",IF($M720=0,"Out of stock",IF(OR($P720="",$Q720=""),"No window",IF(YEAR(TODAY())&lt;$P720,"Too young",IF(YEAR(TODAY())&gt;$Q720,"Past peak",IF(YEAR(TODAY())=$Q720,"Drink now","Ready"))))))</f>
        <v/>
      </c>
    </row>
    <row r="721">
      <c r="A721" s="32">
        <f>IF($B721="","",IFERROR(IMAGE($B721,4,60,60),""))</f>
        <v/>
      </c>
      <c r="T721" s="68" t="n"/>
      <c r="V721" s="32">
        <f>IF($M721="","",IF($M721=0,"Out of stock",IF(OR($P721="",$Q721=""),"No window",IF(YEAR(TODAY())&lt;$P721,"Too young",IF(YEAR(TODAY())&gt;$Q721,"Past peak",IF(YEAR(TODAY())=$Q721,"Drink now","Ready"))))))</f>
        <v/>
      </c>
    </row>
    <row r="722">
      <c r="A722" s="32">
        <f>IF($B722="","",IFERROR(IMAGE($B722,4,60,60),""))</f>
        <v/>
      </c>
      <c r="T722" s="68" t="n"/>
      <c r="V722" s="32">
        <f>IF($M722="","",IF($M722=0,"Out of stock",IF(OR($P722="",$Q722=""),"No window",IF(YEAR(TODAY())&lt;$P722,"Too young",IF(YEAR(TODAY())&gt;$Q722,"Past peak",IF(YEAR(TODAY())=$Q722,"Drink now","Ready"))))))</f>
        <v/>
      </c>
    </row>
    <row r="723">
      <c r="A723" s="32">
        <f>IF($B723="","",IFERROR(IMAGE($B723,4,60,60),""))</f>
        <v/>
      </c>
      <c r="T723" s="68" t="n"/>
      <c r="V723" s="32">
        <f>IF($M723="","",IF($M723=0,"Out of stock",IF(OR($P723="",$Q723=""),"No window",IF(YEAR(TODAY())&lt;$P723,"Too young",IF(YEAR(TODAY())&gt;$Q723,"Past peak",IF(YEAR(TODAY())=$Q723,"Drink now","Ready"))))))</f>
        <v/>
      </c>
    </row>
    <row r="724">
      <c r="A724" s="32">
        <f>IF($B724="","",IFERROR(IMAGE($B724,4,60,60),""))</f>
        <v/>
      </c>
      <c r="T724" s="68" t="n"/>
      <c r="V724" s="32">
        <f>IF($M724="","",IF($M724=0,"Out of stock",IF(OR($P724="",$Q724=""),"No window",IF(YEAR(TODAY())&lt;$P724,"Too young",IF(YEAR(TODAY())&gt;$Q724,"Past peak",IF(YEAR(TODAY())=$Q724,"Drink now","Ready"))))))</f>
        <v/>
      </c>
    </row>
    <row r="725">
      <c r="A725" s="32">
        <f>IF($B725="","",IFERROR(IMAGE($B725,4,60,60),""))</f>
        <v/>
      </c>
      <c r="T725" s="68" t="n"/>
      <c r="V725" s="32">
        <f>IF($M725="","",IF($M725=0,"Out of stock",IF(OR($P725="",$Q725=""),"No window",IF(YEAR(TODAY())&lt;$P725,"Too young",IF(YEAR(TODAY())&gt;$Q725,"Past peak",IF(YEAR(TODAY())=$Q725,"Drink now","Ready"))))))</f>
        <v/>
      </c>
    </row>
    <row r="726">
      <c r="A726" s="32">
        <f>IF($B726="","",IFERROR(IMAGE($B726,4,60,60),""))</f>
        <v/>
      </c>
      <c r="T726" s="68" t="n"/>
      <c r="V726" s="32">
        <f>IF($M726="","",IF($M726=0,"Out of stock",IF(OR($P726="",$Q726=""),"No window",IF(YEAR(TODAY())&lt;$P726,"Too young",IF(YEAR(TODAY())&gt;$Q726,"Past peak",IF(YEAR(TODAY())=$Q726,"Drink now","Ready"))))))</f>
        <v/>
      </c>
    </row>
    <row r="727">
      <c r="A727" s="32">
        <f>IF($B727="","",IFERROR(IMAGE($B727,4,60,60),""))</f>
        <v/>
      </c>
      <c r="T727" s="68" t="n"/>
      <c r="V727" s="32">
        <f>IF($M727="","",IF($M727=0,"Out of stock",IF(OR($P727="",$Q727=""),"No window",IF(YEAR(TODAY())&lt;$P727,"Too young",IF(YEAR(TODAY())&gt;$Q727,"Past peak",IF(YEAR(TODAY())=$Q727,"Drink now","Ready"))))))</f>
        <v/>
      </c>
    </row>
    <row r="728">
      <c r="A728" s="32">
        <f>IF($B728="","",IFERROR(IMAGE($B728,4,60,60),""))</f>
        <v/>
      </c>
      <c r="T728" s="68" t="n"/>
      <c r="V728" s="32">
        <f>IF($M728="","",IF($M728=0,"Out of stock",IF(OR($P728="",$Q728=""),"No window",IF(YEAR(TODAY())&lt;$P728,"Too young",IF(YEAR(TODAY())&gt;$Q728,"Past peak",IF(YEAR(TODAY())=$Q728,"Drink now","Ready"))))))</f>
        <v/>
      </c>
    </row>
    <row r="729">
      <c r="A729" s="32">
        <f>IF($B729="","",IFERROR(IMAGE($B729,4,60,60),""))</f>
        <v/>
      </c>
      <c r="T729" s="68" t="n"/>
      <c r="V729" s="32">
        <f>IF($M729="","",IF($M729=0,"Out of stock",IF(OR($P729="",$Q729=""),"No window",IF(YEAR(TODAY())&lt;$P729,"Too young",IF(YEAR(TODAY())&gt;$Q729,"Past peak",IF(YEAR(TODAY())=$Q729,"Drink now","Ready"))))))</f>
        <v/>
      </c>
    </row>
    <row r="730">
      <c r="A730" s="32">
        <f>IF($B730="","",IFERROR(IMAGE($B730,4,60,60),""))</f>
        <v/>
      </c>
      <c r="T730" s="68" t="n"/>
      <c r="V730" s="32">
        <f>IF($M730="","",IF($M730=0,"Out of stock",IF(OR($P730="",$Q730=""),"No window",IF(YEAR(TODAY())&lt;$P730,"Too young",IF(YEAR(TODAY())&gt;$Q730,"Past peak",IF(YEAR(TODAY())=$Q730,"Drink now","Ready"))))))</f>
        <v/>
      </c>
    </row>
    <row r="731">
      <c r="A731" s="32">
        <f>IF($B731="","",IFERROR(IMAGE($B731,4,60,60),""))</f>
        <v/>
      </c>
      <c r="T731" s="68" t="n"/>
      <c r="V731" s="32">
        <f>IF($M731="","",IF($M731=0,"Out of stock",IF(OR($P731="",$Q731=""),"No window",IF(YEAR(TODAY())&lt;$P731,"Too young",IF(YEAR(TODAY())&gt;$Q731,"Past peak",IF(YEAR(TODAY())=$Q731,"Drink now","Ready"))))))</f>
        <v/>
      </c>
    </row>
    <row r="732">
      <c r="A732" s="32">
        <f>IF($B732="","",IFERROR(IMAGE($B732,4,60,60),""))</f>
        <v/>
      </c>
      <c r="T732" s="68" t="n"/>
      <c r="V732" s="32">
        <f>IF($M732="","",IF($M732=0,"Out of stock",IF(OR($P732="",$Q732=""),"No window",IF(YEAR(TODAY())&lt;$P732,"Too young",IF(YEAR(TODAY())&gt;$Q732,"Past peak",IF(YEAR(TODAY())=$Q732,"Drink now","Ready"))))))</f>
        <v/>
      </c>
    </row>
    <row r="733">
      <c r="A733" s="32">
        <f>IF($B733="","",IFERROR(IMAGE($B733,4,60,60),""))</f>
        <v/>
      </c>
      <c r="T733" s="68" t="n"/>
      <c r="V733" s="32">
        <f>IF($M733="","",IF($M733=0,"Out of stock",IF(OR($P733="",$Q733=""),"No window",IF(YEAR(TODAY())&lt;$P733,"Too young",IF(YEAR(TODAY())&gt;$Q733,"Past peak",IF(YEAR(TODAY())=$Q733,"Drink now","Ready"))))))</f>
        <v/>
      </c>
    </row>
    <row r="734">
      <c r="A734" s="32">
        <f>IF($B734="","",IFERROR(IMAGE($B734,4,60,60),""))</f>
        <v/>
      </c>
      <c r="T734" s="68" t="n"/>
      <c r="V734" s="32">
        <f>IF($M734="","",IF($M734=0,"Out of stock",IF(OR($P734="",$Q734=""),"No window",IF(YEAR(TODAY())&lt;$P734,"Too young",IF(YEAR(TODAY())&gt;$Q734,"Past peak",IF(YEAR(TODAY())=$Q734,"Drink now","Ready"))))))</f>
        <v/>
      </c>
    </row>
    <row r="735">
      <c r="A735" s="32">
        <f>IF($B735="","",IFERROR(IMAGE($B735,4,60,60),""))</f>
        <v/>
      </c>
      <c r="T735" s="68" t="n"/>
      <c r="V735" s="32">
        <f>IF($M735="","",IF($M735=0,"Out of stock",IF(OR($P735="",$Q735=""),"No window",IF(YEAR(TODAY())&lt;$P735,"Too young",IF(YEAR(TODAY())&gt;$Q735,"Past peak",IF(YEAR(TODAY())=$Q735,"Drink now","Ready"))))))</f>
        <v/>
      </c>
    </row>
    <row r="736">
      <c r="A736" s="32">
        <f>IF($B736="","",IFERROR(IMAGE($B736,4,60,60),""))</f>
        <v/>
      </c>
      <c r="T736" s="68" t="n"/>
      <c r="V736" s="32">
        <f>IF($M736="","",IF($M736=0,"Out of stock",IF(OR($P736="",$Q736=""),"No window",IF(YEAR(TODAY())&lt;$P736,"Too young",IF(YEAR(TODAY())&gt;$Q736,"Past peak",IF(YEAR(TODAY())=$Q736,"Drink now","Ready"))))))</f>
        <v/>
      </c>
    </row>
    <row r="737">
      <c r="A737" s="32">
        <f>IF($B737="","",IFERROR(IMAGE($B737,4,60,60),""))</f>
        <v/>
      </c>
      <c r="T737" s="68" t="n"/>
      <c r="V737" s="32">
        <f>IF($M737="","",IF($M737=0,"Out of stock",IF(OR($P737="",$Q737=""),"No window",IF(YEAR(TODAY())&lt;$P737,"Too young",IF(YEAR(TODAY())&gt;$Q737,"Past peak",IF(YEAR(TODAY())=$Q737,"Drink now","Ready"))))))</f>
        <v/>
      </c>
    </row>
    <row r="738">
      <c r="A738" s="32">
        <f>IF($B738="","",IFERROR(IMAGE($B738,4,60,60),""))</f>
        <v/>
      </c>
      <c r="T738" s="68" t="n"/>
      <c r="V738" s="32">
        <f>IF($M738="","",IF($M738=0,"Out of stock",IF(OR($P738="",$Q738=""),"No window",IF(YEAR(TODAY())&lt;$P738,"Too young",IF(YEAR(TODAY())&gt;$Q738,"Past peak",IF(YEAR(TODAY())=$Q738,"Drink now","Ready"))))))</f>
        <v/>
      </c>
    </row>
    <row r="739">
      <c r="A739" s="32">
        <f>IF($B739="","",IFERROR(IMAGE($B739,4,60,60),""))</f>
        <v/>
      </c>
      <c r="T739" s="68" t="n"/>
      <c r="V739" s="32">
        <f>IF($M739="","",IF($M739=0,"Out of stock",IF(OR($P739="",$Q739=""),"No window",IF(YEAR(TODAY())&lt;$P739,"Too young",IF(YEAR(TODAY())&gt;$Q739,"Past peak",IF(YEAR(TODAY())=$Q739,"Drink now","Ready"))))))</f>
        <v/>
      </c>
    </row>
    <row r="740">
      <c r="A740" s="32">
        <f>IF($B740="","",IFERROR(IMAGE($B740,4,60,60),""))</f>
        <v/>
      </c>
      <c r="T740" s="68" t="n"/>
      <c r="V740" s="32">
        <f>IF($M740="","",IF($M740=0,"Out of stock",IF(OR($P740="",$Q740=""),"No window",IF(YEAR(TODAY())&lt;$P740,"Too young",IF(YEAR(TODAY())&gt;$Q740,"Past peak",IF(YEAR(TODAY())=$Q740,"Drink now","Ready"))))))</f>
        <v/>
      </c>
    </row>
    <row r="741">
      <c r="A741" s="32">
        <f>IF($B741="","",IFERROR(IMAGE($B741,4,60,60),""))</f>
        <v/>
      </c>
      <c r="T741" s="68" t="n"/>
      <c r="V741" s="32">
        <f>IF($M741="","",IF($M741=0,"Out of stock",IF(OR($P741="",$Q741=""),"No window",IF(YEAR(TODAY())&lt;$P741,"Too young",IF(YEAR(TODAY())&gt;$Q741,"Past peak",IF(YEAR(TODAY())=$Q741,"Drink now","Ready"))))))</f>
        <v/>
      </c>
    </row>
    <row r="742">
      <c r="A742" s="32">
        <f>IF($B742="","",IFERROR(IMAGE($B742,4,60,60),""))</f>
        <v/>
      </c>
      <c r="T742" s="68" t="n"/>
      <c r="V742" s="32">
        <f>IF($M742="","",IF($M742=0,"Out of stock",IF(OR($P742="",$Q742=""),"No window",IF(YEAR(TODAY())&lt;$P742,"Too young",IF(YEAR(TODAY())&gt;$Q742,"Past peak",IF(YEAR(TODAY())=$Q742,"Drink now","Ready"))))))</f>
        <v/>
      </c>
    </row>
    <row r="743">
      <c r="A743" s="32">
        <f>IF($B743="","",IFERROR(IMAGE($B743,4,60,60),""))</f>
        <v/>
      </c>
      <c r="T743" s="68" t="n"/>
      <c r="V743" s="32">
        <f>IF($M743="","",IF($M743=0,"Out of stock",IF(OR($P743="",$Q743=""),"No window",IF(YEAR(TODAY())&lt;$P743,"Too young",IF(YEAR(TODAY())&gt;$Q743,"Past peak",IF(YEAR(TODAY())=$Q743,"Drink now","Ready"))))))</f>
        <v/>
      </c>
    </row>
    <row r="744">
      <c r="A744" s="32">
        <f>IF($B744="","",IFERROR(IMAGE($B744,4,60,60),""))</f>
        <v/>
      </c>
      <c r="T744" s="68" t="n"/>
      <c r="V744" s="32">
        <f>IF($M744="","",IF($M744=0,"Out of stock",IF(OR($P744="",$Q744=""),"No window",IF(YEAR(TODAY())&lt;$P744,"Too young",IF(YEAR(TODAY())&gt;$Q744,"Past peak",IF(YEAR(TODAY())=$Q744,"Drink now","Ready"))))))</f>
        <v/>
      </c>
    </row>
    <row r="745">
      <c r="A745" s="32">
        <f>IF($B745="","",IFERROR(IMAGE($B745,4,60,60),""))</f>
        <v/>
      </c>
      <c r="T745" s="68" t="n"/>
      <c r="V745" s="32">
        <f>IF($M745="","",IF($M745=0,"Out of stock",IF(OR($P745="",$Q745=""),"No window",IF(YEAR(TODAY())&lt;$P745,"Too young",IF(YEAR(TODAY())&gt;$Q745,"Past peak",IF(YEAR(TODAY())=$Q745,"Drink now","Ready"))))))</f>
        <v/>
      </c>
    </row>
    <row r="746">
      <c r="A746" s="32">
        <f>IF($B746="","",IFERROR(IMAGE($B746,4,60,60),""))</f>
        <v/>
      </c>
      <c r="T746" s="68" t="n"/>
      <c r="V746" s="32">
        <f>IF($M746="","",IF($M746=0,"Out of stock",IF(OR($P746="",$Q746=""),"No window",IF(YEAR(TODAY())&lt;$P746,"Too young",IF(YEAR(TODAY())&gt;$Q746,"Past peak",IF(YEAR(TODAY())=$Q746,"Drink now","Ready"))))))</f>
        <v/>
      </c>
    </row>
    <row r="747">
      <c r="A747" s="32">
        <f>IF($B747="","",IFERROR(IMAGE($B747,4,60,60),""))</f>
        <v/>
      </c>
      <c r="T747" s="68" t="n"/>
      <c r="V747" s="32">
        <f>IF($M747="","",IF($M747=0,"Out of stock",IF(OR($P747="",$Q747=""),"No window",IF(YEAR(TODAY())&lt;$P747,"Too young",IF(YEAR(TODAY())&gt;$Q747,"Past peak",IF(YEAR(TODAY())=$Q747,"Drink now","Ready"))))))</f>
        <v/>
      </c>
    </row>
    <row r="748">
      <c r="A748" s="32">
        <f>IF($B748="","",IFERROR(IMAGE($B748,4,60,60),""))</f>
        <v/>
      </c>
      <c r="T748" s="68" t="n"/>
      <c r="V748" s="32">
        <f>IF($M748="","",IF($M748=0,"Out of stock",IF(OR($P748="",$Q748=""),"No window",IF(YEAR(TODAY())&lt;$P748,"Too young",IF(YEAR(TODAY())&gt;$Q748,"Past peak",IF(YEAR(TODAY())=$Q748,"Drink now","Ready"))))))</f>
        <v/>
      </c>
    </row>
    <row r="749">
      <c r="A749" s="32">
        <f>IF($B749="","",IFERROR(IMAGE($B749,4,60,60),""))</f>
        <v/>
      </c>
      <c r="T749" s="68" t="n"/>
      <c r="V749" s="32">
        <f>IF($M749="","",IF($M749=0,"Out of stock",IF(OR($P749="",$Q749=""),"No window",IF(YEAR(TODAY())&lt;$P749,"Too young",IF(YEAR(TODAY())&gt;$Q749,"Past peak",IF(YEAR(TODAY())=$Q749,"Drink now","Ready"))))))</f>
        <v/>
      </c>
    </row>
    <row r="750">
      <c r="A750" s="32">
        <f>IF($B750="","",IFERROR(IMAGE($B750,4,60,60),""))</f>
        <v/>
      </c>
      <c r="T750" s="68" t="n"/>
      <c r="V750" s="32">
        <f>IF($M750="","",IF($M750=0,"Out of stock",IF(OR($P750="",$Q750=""),"No window",IF(YEAR(TODAY())&lt;$P750,"Too young",IF(YEAR(TODAY())&gt;$Q750,"Past peak",IF(YEAR(TODAY())=$Q750,"Drink now","Ready"))))))</f>
        <v/>
      </c>
    </row>
    <row r="751">
      <c r="A751" s="32">
        <f>IF($B751="","",IFERROR(IMAGE($B751,4,60,60),""))</f>
        <v/>
      </c>
      <c r="T751" s="68" t="n"/>
      <c r="V751" s="32">
        <f>IF($M751="","",IF($M751=0,"Out of stock",IF(OR($P751="",$Q751=""),"No window",IF(YEAR(TODAY())&lt;$P751,"Too young",IF(YEAR(TODAY())&gt;$Q751,"Past peak",IF(YEAR(TODAY())=$Q751,"Drink now","Ready"))))))</f>
        <v/>
      </c>
    </row>
    <row r="752">
      <c r="A752" s="32">
        <f>IF($B752="","",IFERROR(IMAGE($B752,4,60,60),""))</f>
        <v/>
      </c>
      <c r="T752" s="68" t="n"/>
      <c r="V752" s="32">
        <f>IF($M752="","",IF($M752=0,"Out of stock",IF(OR($P752="",$Q752=""),"No window",IF(YEAR(TODAY())&lt;$P752,"Too young",IF(YEAR(TODAY())&gt;$Q752,"Past peak",IF(YEAR(TODAY())=$Q752,"Drink now","Ready"))))))</f>
        <v/>
      </c>
    </row>
    <row r="753">
      <c r="A753" s="32">
        <f>IF($B753="","",IFERROR(IMAGE($B753,4,60,60),""))</f>
        <v/>
      </c>
      <c r="T753" s="68" t="n"/>
      <c r="V753" s="32">
        <f>IF($M753="","",IF($M753=0,"Out of stock",IF(OR($P753="",$Q753=""),"No window",IF(YEAR(TODAY())&lt;$P753,"Too young",IF(YEAR(TODAY())&gt;$Q753,"Past peak",IF(YEAR(TODAY())=$Q753,"Drink now","Ready"))))))</f>
        <v/>
      </c>
    </row>
    <row r="754">
      <c r="A754" s="32">
        <f>IF($B754="","",IFERROR(IMAGE($B754,4,60,60),""))</f>
        <v/>
      </c>
      <c r="T754" s="68" t="n"/>
      <c r="V754" s="32">
        <f>IF($M754="","",IF($M754=0,"Out of stock",IF(OR($P754="",$Q754=""),"No window",IF(YEAR(TODAY())&lt;$P754,"Too young",IF(YEAR(TODAY())&gt;$Q754,"Past peak",IF(YEAR(TODAY())=$Q754,"Drink now","Ready"))))))</f>
        <v/>
      </c>
    </row>
    <row r="755">
      <c r="A755" s="32">
        <f>IF($B755="","",IFERROR(IMAGE($B755,4,60,60),""))</f>
        <v/>
      </c>
      <c r="T755" s="68" t="n"/>
      <c r="V755" s="32">
        <f>IF($M755="","",IF($M755=0,"Out of stock",IF(OR($P755="",$Q755=""),"No window",IF(YEAR(TODAY())&lt;$P755,"Too young",IF(YEAR(TODAY())&gt;$Q755,"Past peak",IF(YEAR(TODAY())=$Q755,"Drink now","Ready"))))))</f>
        <v/>
      </c>
    </row>
    <row r="756">
      <c r="A756" s="32">
        <f>IF($B756="","",IFERROR(IMAGE($B756,4,60,60),""))</f>
        <v/>
      </c>
      <c r="T756" s="68" t="n"/>
      <c r="V756" s="32">
        <f>IF($M756="","",IF($M756=0,"Out of stock",IF(OR($P756="",$Q756=""),"No window",IF(YEAR(TODAY())&lt;$P756,"Too young",IF(YEAR(TODAY())&gt;$Q756,"Past peak",IF(YEAR(TODAY())=$Q756,"Drink now","Ready"))))))</f>
        <v/>
      </c>
    </row>
    <row r="757">
      <c r="A757" s="32">
        <f>IF($B757="","",IFERROR(IMAGE($B757,4,60,60),""))</f>
        <v/>
      </c>
      <c r="T757" s="68" t="n"/>
      <c r="V757" s="32">
        <f>IF($M757="","",IF($M757=0,"Out of stock",IF(OR($P757="",$Q757=""),"No window",IF(YEAR(TODAY())&lt;$P757,"Too young",IF(YEAR(TODAY())&gt;$Q757,"Past peak",IF(YEAR(TODAY())=$Q757,"Drink now","Ready"))))))</f>
        <v/>
      </c>
    </row>
    <row r="758">
      <c r="A758" s="32">
        <f>IF($B758="","",IFERROR(IMAGE($B758,4,60,60),""))</f>
        <v/>
      </c>
      <c r="T758" s="68" t="n"/>
      <c r="V758" s="32">
        <f>IF($M758="","",IF($M758=0,"Out of stock",IF(OR($P758="",$Q758=""),"No window",IF(YEAR(TODAY())&lt;$P758,"Too young",IF(YEAR(TODAY())&gt;$Q758,"Past peak",IF(YEAR(TODAY())=$Q758,"Drink now","Ready"))))))</f>
        <v/>
      </c>
    </row>
    <row r="759">
      <c r="A759" s="32">
        <f>IF($B759="","",IFERROR(IMAGE($B759,4,60,60),""))</f>
        <v/>
      </c>
      <c r="T759" s="68" t="n"/>
      <c r="V759" s="32">
        <f>IF($M759="","",IF($M759=0,"Out of stock",IF(OR($P759="",$Q759=""),"No window",IF(YEAR(TODAY())&lt;$P759,"Too young",IF(YEAR(TODAY())&gt;$Q759,"Past peak",IF(YEAR(TODAY())=$Q759,"Drink now","Ready"))))))</f>
        <v/>
      </c>
    </row>
    <row r="760">
      <c r="A760" s="32">
        <f>IF($B760="","",IFERROR(IMAGE($B760,4,60,60),""))</f>
        <v/>
      </c>
      <c r="T760" s="68" t="n"/>
      <c r="V760" s="32">
        <f>IF($M760="","",IF($M760=0,"Out of stock",IF(OR($P760="",$Q760=""),"No window",IF(YEAR(TODAY())&lt;$P760,"Too young",IF(YEAR(TODAY())&gt;$Q760,"Past peak",IF(YEAR(TODAY())=$Q760,"Drink now","Ready"))))))</f>
        <v/>
      </c>
    </row>
    <row r="761">
      <c r="A761" s="32">
        <f>IF($B761="","",IFERROR(IMAGE($B761,4,60,60),""))</f>
        <v/>
      </c>
      <c r="T761" s="68" t="n"/>
      <c r="V761" s="32">
        <f>IF($M761="","",IF($M761=0,"Out of stock",IF(OR($P761="",$Q761=""),"No window",IF(YEAR(TODAY())&lt;$P761,"Too young",IF(YEAR(TODAY())&gt;$Q761,"Past peak",IF(YEAR(TODAY())=$Q761,"Drink now","Ready"))))))</f>
        <v/>
      </c>
    </row>
    <row r="762">
      <c r="A762" s="32">
        <f>IF($B762="","",IFERROR(IMAGE($B762,4,60,60),""))</f>
        <v/>
      </c>
      <c r="T762" s="68" t="n"/>
      <c r="V762" s="32">
        <f>IF($M762="","",IF($M762=0,"Out of stock",IF(OR($P762="",$Q762=""),"No window",IF(YEAR(TODAY())&lt;$P762,"Too young",IF(YEAR(TODAY())&gt;$Q762,"Past peak",IF(YEAR(TODAY())=$Q762,"Drink now","Ready"))))))</f>
        <v/>
      </c>
    </row>
    <row r="763">
      <c r="A763" s="32">
        <f>IF($B763="","",IFERROR(IMAGE($B763,4,60,60),""))</f>
        <v/>
      </c>
      <c r="T763" s="68" t="n"/>
      <c r="V763" s="32">
        <f>IF($M763="","",IF($M763=0,"Out of stock",IF(OR($P763="",$Q763=""),"No window",IF(YEAR(TODAY())&lt;$P763,"Too young",IF(YEAR(TODAY())&gt;$Q763,"Past peak",IF(YEAR(TODAY())=$Q763,"Drink now","Ready"))))))</f>
        <v/>
      </c>
    </row>
    <row r="764">
      <c r="A764" s="32">
        <f>IF($B764="","",IFERROR(IMAGE($B764,4,60,60),""))</f>
        <v/>
      </c>
      <c r="T764" s="68" t="n"/>
      <c r="V764" s="32">
        <f>IF($M764="","",IF($M764=0,"Out of stock",IF(OR($P764="",$Q764=""),"No window",IF(YEAR(TODAY())&lt;$P764,"Too young",IF(YEAR(TODAY())&gt;$Q764,"Past peak",IF(YEAR(TODAY())=$Q764,"Drink now","Ready"))))))</f>
        <v/>
      </c>
    </row>
    <row r="765">
      <c r="A765" s="32">
        <f>IF($B765="","",IFERROR(IMAGE($B765,4,60,60),""))</f>
        <v/>
      </c>
      <c r="T765" s="68" t="n"/>
      <c r="V765" s="32">
        <f>IF($M765="","",IF($M765=0,"Out of stock",IF(OR($P765="",$Q765=""),"No window",IF(YEAR(TODAY())&lt;$P765,"Too young",IF(YEAR(TODAY())&gt;$Q765,"Past peak",IF(YEAR(TODAY())=$Q765,"Drink now","Ready"))))))</f>
        <v/>
      </c>
    </row>
    <row r="766">
      <c r="A766" s="32">
        <f>IF($B766="","",IFERROR(IMAGE($B766,4,60,60),""))</f>
        <v/>
      </c>
      <c r="T766" s="68" t="n"/>
      <c r="V766" s="32">
        <f>IF($M766="","",IF($M766=0,"Out of stock",IF(OR($P766="",$Q766=""),"No window",IF(YEAR(TODAY())&lt;$P766,"Too young",IF(YEAR(TODAY())&gt;$Q766,"Past peak",IF(YEAR(TODAY())=$Q766,"Drink now","Ready"))))))</f>
        <v/>
      </c>
    </row>
    <row r="767">
      <c r="A767" s="32">
        <f>IF($B767="","",IFERROR(IMAGE($B767,4,60,60),""))</f>
        <v/>
      </c>
      <c r="T767" s="68" t="n"/>
      <c r="V767" s="32">
        <f>IF($M767="","",IF($M767=0,"Out of stock",IF(OR($P767="",$Q767=""),"No window",IF(YEAR(TODAY())&lt;$P767,"Too young",IF(YEAR(TODAY())&gt;$Q767,"Past peak",IF(YEAR(TODAY())=$Q767,"Drink now","Ready"))))))</f>
        <v/>
      </c>
    </row>
    <row r="768">
      <c r="A768" s="32">
        <f>IF($B768="","",IFERROR(IMAGE($B768,4,60,60),""))</f>
        <v/>
      </c>
      <c r="T768" s="68" t="n"/>
      <c r="V768" s="32">
        <f>IF($M768="","",IF($M768=0,"Out of stock",IF(OR($P768="",$Q768=""),"No window",IF(YEAR(TODAY())&lt;$P768,"Too young",IF(YEAR(TODAY())&gt;$Q768,"Past peak",IF(YEAR(TODAY())=$Q768,"Drink now","Ready"))))))</f>
        <v/>
      </c>
    </row>
    <row r="769">
      <c r="A769" s="32">
        <f>IF($B769="","",IFERROR(IMAGE($B769,4,60,60),""))</f>
        <v/>
      </c>
      <c r="T769" s="68" t="n"/>
      <c r="V769" s="32">
        <f>IF($M769="","",IF($M769=0,"Out of stock",IF(OR($P769="",$Q769=""),"No window",IF(YEAR(TODAY())&lt;$P769,"Too young",IF(YEAR(TODAY())&gt;$Q769,"Past peak",IF(YEAR(TODAY())=$Q769,"Drink now","Ready"))))))</f>
        <v/>
      </c>
    </row>
    <row r="770">
      <c r="A770" s="32">
        <f>IF($B770="","",IFERROR(IMAGE($B770,4,60,60),""))</f>
        <v/>
      </c>
      <c r="T770" s="68" t="n"/>
      <c r="V770" s="32">
        <f>IF($M770="","",IF($M770=0,"Out of stock",IF(OR($P770="",$Q770=""),"No window",IF(YEAR(TODAY())&lt;$P770,"Too young",IF(YEAR(TODAY())&gt;$Q770,"Past peak",IF(YEAR(TODAY())=$Q770,"Drink now","Ready"))))))</f>
        <v/>
      </c>
    </row>
    <row r="771">
      <c r="A771" s="32">
        <f>IF($B771="","",IFERROR(IMAGE($B771,4,60,60),""))</f>
        <v/>
      </c>
      <c r="T771" s="68" t="n"/>
      <c r="V771" s="32">
        <f>IF($M771="","",IF($M771=0,"Out of stock",IF(OR($P771="",$Q771=""),"No window",IF(YEAR(TODAY())&lt;$P771,"Too young",IF(YEAR(TODAY())&gt;$Q771,"Past peak",IF(YEAR(TODAY())=$Q771,"Drink now","Ready"))))))</f>
        <v/>
      </c>
    </row>
    <row r="772">
      <c r="A772" s="32">
        <f>IF($B772="","",IFERROR(IMAGE($B772,4,60,60),""))</f>
        <v/>
      </c>
      <c r="T772" s="68" t="n"/>
      <c r="V772" s="32">
        <f>IF($M772="","",IF($M772=0,"Out of stock",IF(OR($P772="",$Q772=""),"No window",IF(YEAR(TODAY())&lt;$P772,"Too young",IF(YEAR(TODAY())&gt;$Q772,"Past peak",IF(YEAR(TODAY())=$Q772,"Drink now","Ready"))))))</f>
        <v/>
      </c>
    </row>
    <row r="773">
      <c r="A773" s="32">
        <f>IF($B773="","",IFERROR(IMAGE($B773,4,60,60),""))</f>
        <v/>
      </c>
      <c r="T773" s="68" t="n"/>
      <c r="V773" s="32">
        <f>IF($M773="","",IF($M773=0,"Out of stock",IF(OR($P773="",$Q773=""),"No window",IF(YEAR(TODAY())&lt;$P773,"Too young",IF(YEAR(TODAY())&gt;$Q773,"Past peak",IF(YEAR(TODAY())=$Q773,"Drink now","Ready"))))))</f>
        <v/>
      </c>
    </row>
    <row r="774">
      <c r="A774" s="32">
        <f>IF($B774="","",IFERROR(IMAGE($B774,4,60,60),""))</f>
        <v/>
      </c>
      <c r="T774" s="68" t="n"/>
      <c r="V774" s="32">
        <f>IF($M774="","",IF($M774=0,"Out of stock",IF(OR($P774="",$Q774=""),"No window",IF(YEAR(TODAY())&lt;$P774,"Too young",IF(YEAR(TODAY())&gt;$Q774,"Past peak",IF(YEAR(TODAY())=$Q774,"Drink now","Ready"))))))</f>
        <v/>
      </c>
    </row>
    <row r="775">
      <c r="A775" s="32">
        <f>IF($B775="","",IFERROR(IMAGE($B775,4,60,60),""))</f>
        <v/>
      </c>
      <c r="T775" s="68" t="n"/>
      <c r="V775" s="32">
        <f>IF($M775="","",IF($M775=0,"Out of stock",IF(OR($P775="",$Q775=""),"No window",IF(YEAR(TODAY())&lt;$P775,"Too young",IF(YEAR(TODAY())&gt;$Q775,"Past peak",IF(YEAR(TODAY())=$Q775,"Drink now","Ready"))))))</f>
        <v/>
      </c>
    </row>
    <row r="776">
      <c r="A776" s="32">
        <f>IF($B776="","",IFERROR(IMAGE($B776,4,60,60),""))</f>
        <v/>
      </c>
      <c r="T776" s="68" t="n"/>
      <c r="V776" s="32">
        <f>IF($M776="","",IF($M776=0,"Out of stock",IF(OR($P776="",$Q776=""),"No window",IF(YEAR(TODAY())&lt;$P776,"Too young",IF(YEAR(TODAY())&gt;$Q776,"Past peak",IF(YEAR(TODAY())=$Q776,"Drink now","Ready"))))))</f>
        <v/>
      </c>
    </row>
    <row r="777">
      <c r="A777" s="32">
        <f>IF($B777="","",IFERROR(IMAGE($B777,4,60,60),""))</f>
        <v/>
      </c>
      <c r="T777" s="68" t="n"/>
      <c r="V777" s="32">
        <f>IF($M777="","",IF($M777=0,"Out of stock",IF(OR($P777="",$Q777=""),"No window",IF(YEAR(TODAY())&lt;$P777,"Too young",IF(YEAR(TODAY())&gt;$Q777,"Past peak",IF(YEAR(TODAY())=$Q777,"Drink now","Ready"))))))</f>
        <v/>
      </c>
    </row>
    <row r="778">
      <c r="A778" s="32">
        <f>IF($B778="","",IFERROR(IMAGE($B778,4,60,60),""))</f>
        <v/>
      </c>
      <c r="T778" s="68" t="n"/>
      <c r="V778" s="32">
        <f>IF($M778="","",IF($M778=0,"Out of stock",IF(OR($P778="",$Q778=""),"No window",IF(YEAR(TODAY())&lt;$P778,"Too young",IF(YEAR(TODAY())&gt;$Q778,"Past peak",IF(YEAR(TODAY())=$Q778,"Drink now","Ready"))))))</f>
        <v/>
      </c>
    </row>
    <row r="779">
      <c r="A779" s="32">
        <f>IF($B779="","",IFERROR(IMAGE($B779,4,60,60),""))</f>
        <v/>
      </c>
      <c r="T779" s="68" t="n"/>
      <c r="V779" s="32">
        <f>IF($M779="","",IF($M779=0,"Out of stock",IF(OR($P779="",$Q779=""),"No window",IF(YEAR(TODAY())&lt;$P779,"Too young",IF(YEAR(TODAY())&gt;$Q779,"Past peak",IF(YEAR(TODAY())=$Q779,"Drink now","Ready"))))))</f>
        <v/>
      </c>
    </row>
    <row r="780">
      <c r="A780" s="32">
        <f>IF($B780="","",IFERROR(IMAGE($B780,4,60,60),""))</f>
        <v/>
      </c>
      <c r="T780" s="68" t="n"/>
      <c r="V780" s="32">
        <f>IF($M780="","",IF($M780=0,"Out of stock",IF(OR($P780="",$Q780=""),"No window",IF(YEAR(TODAY())&lt;$P780,"Too young",IF(YEAR(TODAY())&gt;$Q780,"Past peak",IF(YEAR(TODAY())=$Q780,"Drink now","Ready"))))))</f>
        <v/>
      </c>
    </row>
    <row r="781">
      <c r="A781" s="32">
        <f>IF($B781="","",IFERROR(IMAGE($B781,4,60,60),""))</f>
        <v/>
      </c>
      <c r="T781" s="68" t="n"/>
      <c r="V781" s="32">
        <f>IF($M781="","",IF($M781=0,"Out of stock",IF(OR($P781="",$Q781=""),"No window",IF(YEAR(TODAY())&lt;$P781,"Too young",IF(YEAR(TODAY())&gt;$Q781,"Past peak",IF(YEAR(TODAY())=$Q781,"Drink now","Ready"))))))</f>
        <v/>
      </c>
    </row>
    <row r="782">
      <c r="A782" s="32">
        <f>IF($B782="","",IFERROR(IMAGE($B782,4,60,60),""))</f>
        <v/>
      </c>
      <c r="T782" s="68" t="n"/>
      <c r="V782" s="32">
        <f>IF($M782="","",IF($M782=0,"Out of stock",IF(OR($P782="",$Q782=""),"No window",IF(YEAR(TODAY())&lt;$P782,"Too young",IF(YEAR(TODAY())&gt;$Q782,"Past peak",IF(YEAR(TODAY())=$Q782,"Drink now","Ready"))))))</f>
        <v/>
      </c>
    </row>
    <row r="783">
      <c r="A783" s="32">
        <f>IF($B783="","",IFERROR(IMAGE($B783,4,60,60),""))</f>
        <v/>
      </c>
      <c r="T783" s="68" t="n"/>
      <c r="V783" s="32">
        <f>IF($M783="","",IF($M783=0,"Out of stock",IF(OR($P783="",$Q783=""),"No window",IF(YEAR(TODAY())&lt;$P783,"Too young",IF(YEAR(TODAY())&gt;$Q783,"Past peak",IF(YEAR(TODAY())=$Q783,"Drink now","Ready"))))))</f>
        <v/>
      </c>
    </row>
    <row r="784">
      <c r="A784" s="32">
        <f>IF($B784="","",IFERROR(IMAGE($B784,4,60,60),""))</f>
        <v/>
      </c>
      <c r="T784" s="68" t="n"/>
      <c r="V784" s="32">
        <f>IF($M784="","",IF($M784=0,"Out of stock",IF(OR($P784="",$Q784=""),"No window",IF(YEAR(TODAY())&lt;$P784,"Too young",IF(YEAR(TODAY())&gt;$Q784,"Past peak",IF(YEAR(TODAY())=$Q784,"Drink now","Ready"))))))</f>
        <v/>
      </c>
    </row>
    <row r="785">
      <c r="A785" s="32">
        <f>IF($B785="","",IFERROR(IMAGE($B785,4,60,60),""))</f>
        <v/>
      </c>
      <c r="T785" s="68" t="n"/>
      <c r="V785" s="32">
        <f>IF($M785="","",IF($M785=0,"Out of stock",IF(OR($P785="",$Q785=""),"No window",IF(YEAR(TODAY())&lt;$P785,"Too young",IF(YEAR(TODAY())&gt;$Q785,"Past peak",IF(YEAR(TODAY())=$Q785,"Drink now","Ready"))))))</f>
        <v/>
      </c>
    </row>
    <row r="786">
      <c r="A786" s="32">
        <f>IF($B786="","",IFERROR(IMAGE($B786,4,60,60),""))</f>
        <v/>
      </c>
      <c r="T786" s="68" t="n"/>
      <c r="V786" s="32">
        <f>IF($M786="","",IF($M786=0,"Out of stock",IF(OR($P786="",$Q786=""),"No window",IF(YEAR(TODAY())&lt;$P786,"Too young",IF(YEAR(TODAY())&gt;$Q786,"Past peak",IF(YEAR(TODAY())=$Q786,"Drink now","Ready"))))))</f>
        <v/>
      </c>
    </row>
    <row r="787">
      <c r="A787" s="32">
        <f>IF($B787="","",IFERROR(IMAGE($B787,4,60,60),""))</f>
        <v/>
      </c>
      <c r="T787" s="68" t="n"/>
      <c r="V787" s="32">
        <f>IF($M787="","",IF($M787=0,"Out of stock",IF(OR($P787="",$Q787=""),"No window",IF(YEAR(TODAY())&lt;$P787,"Too young",IF(YEAR(TODAY())&gt;$Q787,"Past peak",IF(YEAR(TODAY())=$Q787,"Drink now","Ready"))))))</f>
        <v/>
      </c>
    </row>
    <row r="788">
      <c r="A788" s="32">
        <f>IF($B788="","",IFERROR(IMAGE($B788,4,60,60),""))</f>
        <v/>
      </c>
      <c r="T788" s="68" t="n"/>
      <c r="V788" s="32">
        <f>IF($M788="","",IF($M788=0,"Out of stock",IF(OR($P788="",$Q788=""),"No window",IF(YEAR(TODAY())&lt;$P788,"Too young",IF(YEAR(TODAY())&gt;$Q788,"Past peak",IF(YEAR(TODAY())=$Q788,"Drink now","Ready"))))))</f>
        <v/>
      </c>
    </row>
    <row r="789">
      <c r="A789" s="32">
        <f>IF($B789="","",IFERROR(IMAGE($B789,4,60,60),""))</f>
        <v/>
      </c>
      <c r="T789" s="68" t="n"/>
      <c r="V789" s="32">
        <f>IF($M789="","",IF($M789=0,"Out of stock",IF(OR($P789="",$Q789=""),"No window",IF(YEAR(TODAY())&lt;$P789,"Too young",IF(YEAR(TODAY())&gt;$Q789,"Past peak",IF(YEAR(TODAY())=$Q789,"Drink now","Ready"))))))</f>
        <v/>
      </c>
    </row>
    <row r="790">
      <c r="A790" s="32">
        <f>IF($B790="","",IFERROR(IMAGE($B790,4,60,60),""))</f>
        <v/>
      </c>
      <c r="T790" s="68" t="n"/>
      <c r="V790" s="32">
        <f>IF($M790="","",IF($M790=0,"Out of stock",IF(OR($P790="",$Q790=""),"No window",IF(YEAR(TODAY())&lt;$P790,"Too young",IF(YEAR(TODAY())&gt;$Q790,"Past peak",IF(YEAR(TODAY())=$Q790,"Drink now","Ready"))))))</f>
        <v/>
      </c>
    </row>
    <row r="791">
      <c r="A791" s="32">
        <f>IF($B791="","",IFERROR(IMAGE($B791,4,60,60),""))</f>
        <v/>
      </c>
      <c r="T791" s="68" t="n"/>
      <c r="V791" s="32">
        <f>IF($M791="","",IF($M791=0,"Out of stock",IF(OR($P791="",$Q791=""),"No window",IF(YEAR(TODAY())&lt;$P791,"Too young",IF(YEAR(TODAY())&gt;$Q791,"Past peak",IF(YEAR(TODAY())=$Q791,"Drink now","Ready"))))))</f>
        <v/>
      </c>
    </row>
    <row r="792">
      <c r="A792" s="32">
        <f>IF($B792="","",IFERROR(IMAGE($B792,4,60,60),""))</f>
        <v/>
      </c>
      <c r="T792" s="68" t="n"/>
      <c r="V792" s="32">
        <f>IF($M792="","",IF($M792=0,"Out of stock",IF(OR($P792="",$Q792=""),"No window",IF(YEAR(TODAY())&lt;$P792,"Too young",IF(YEAR(TODAY())&gt;$Q792,"Past peak",IF(YEAR(TODAY())=$Q792,"Drink now","Ready"))))))</f>
        <v/>
      </c>
    </row>
    <row r="793">
      <c r="A793" s="32">
        <f>IF($B793="","",IFERROR(IMAGE($B793,4,60,60),""))</f>
        <v/>
      </c>
      <c r="T793" s="68" t="n"/>
      <c r="V793" s="32">
        <f>IF($M793="","",IF($M793=0,"Out of stock",IF(OR($P793="",$Q793=""),"No window",IF(YEAR(TODAY())&lt;$P793,"Too young",IF(YEAR(TODAY())&gt;$Q793,"Past peak",IF(YEAR(TODAY())=$Q793,"Drink now","Ready"))))))</f>
        <v/>
      </c>
    </row>
    <row r="794">
      <c r="A794" s="32">
        <f>IF($B794="","",IFERROR(IMAGE($B794,4,60,60),""))</f>
        <v/>
      </c>
      <c r="T794" s="68" t="n"/>
      <c r="V794" s="32">
        <f>IF($M794="","",IF($M794=0,"Out of stock",IF(OR($P794="",$Q794=""),"No window",IF(YEAR(TODAY())&lt;$P794,"Too young",IF(YEAR(TODAY())&gt;$Q794,"Past peak",IF(YEAR(TODAY())=$Q794,"Drink now","Ready"))))))</f>
        <v/>
      </c>
    </row>
    <row r="795">
      <c r="A795" s="32">
        <f>IF($B795="","",IFERROR(IMAGE($B795,4,60,60),""))</f>
        <v/>
      </c>
      <c r="T795" s="68" t="n"/>
      <c r="V795" s="32">
        <f>IF($M795="","",IF($M795=0,"Out of stock",IF(OR($P795="",$Q795=""),"No window",IF(YEAR(TODAY())&lt;$P795,"Too young",IF(YEAR(TODAY())&gt;$Q795,"Past peak",IF(YEAR(TODAY())=$Q795,"Drink now","Ready"))))))</f>
        <v/>
      </c>
    </row>
    <row r="796">
      <c r="A796" s="32">
        <f>IF($B796="","",IFERROR(IMAGE($B796,4,60,60),""))</f>
        <v/>
      </c>
      <c r="T796" s="68" t="n"/>
      <c r="V796" s="32">
        <f>IF($M796="","",IF($M796=0,"Out of stock",IF(OR($P796="",$Q796=""),"No window",IF(YEAR(TODAY())&lt;$P796,"Too young",IF(YEAR(TODAY())&gt;$Q796,"Past peak",IF(YEAR(TODAY())=$Q796,"Drink now","Ready"))))))</f>
        <v/>
      </c>
    </row>
    <row r="797">
      <c r="A797" s="32">
        <f>IF($B797="","",IFERROR(IMAGE($B797,4,60,60),""))</f>
        <v/>
      </c>
      <c r="T797" s="68" t="n"/>
      <c r="V797" s="32">
        <f>IF($M797="","",IF($M797=0,"Out of stock",IF(OR($P797="",$Q797=""),"No window",IF(YEAR(TODAY())&lt;$P797,"Too young",IF(YEAR(TODAY())&gt;$Q797,"Past peak",IF(YEAR(TODAY())=$Q797,"Drink now","Ready"))))))</f>
        <v/>
      </c>
    </row>
    <row r="798">
      <c r="A798" s="32">
        <f>IF($B798="","",IFERROR(IMAGE($B798,4,60,60),""))</f>
        <v/>
      </c>
      <c r="T798" s="68" t="n"/>
      <c r="V798" s="32">
        <f>IF($M798="","",IF($M798=0,"Out of stock",IF(OR($P798="",$Q798=""),"No window",IF(YEAR(TODAY())&lt;$P798,"Too young",IF(YEAR(TODAY())&gt;$Q798,"Past peak",IF(YEAR(TODAY())=$Q798,"Drink now","Ready"))))))</f>
        <v/>
      </c>
    </row>
    <row r="799">
      <c r="A799" s="32">
        <f>IF($B799="","",IFERROR(IMAGE($B799,4,60,60),""))</f>
        <v/>
      </c>
      <c r="T799" s="68" t="n"/>
      <c r="V799" s="32">
        <f>IF($M799="","",IF($M799=0,"Out of stock",IF(OR($P799="",$Q799=""),"No window",IF(YEAR(TODAY())&lt;$P799,"Too young",IF(YEAR(TODAY())&gt;$Q799,"Past peak",IF(YEAR(TODAY())=$Q799,"Drink now","Ready"))))))</f>
        <v/>
      </c>
    </row>
    <row r="800">
      <c r="A800" s="32">
        <f>IF($B800="","",IFERROR(IMAGE($B800,4,60,60),""))</f>
        <v/>
      </c>
      <c r="T800" s="68" t="n"/>
      <c r="V800" s="32">
        <f>IF($M800="","",IF($M800=0,"Out of stock",IF(OR($P800="",$Q800=""),"No window",IF(YEAR(TODAY())&lt;$P800,"Too young",IF(YEAR(TODAY())&gt;$Q800,"Past peak",IF(YEAR(TODAY())=$Q800,"Drink now","Ready"))))))</f>
        <v/>
      </c>
    </row>
    <row r="801">
      <c r="A801" s="32">
        <f>IF($B801="","",IFERROR(IMAGE($B801,4,60,60),""))</f>
        <v/>
      </c>
      <c r="T801" s="68" t="n"/>
      <c r="V801" s="32">
        <f>IF($M801="","",IF($M801=0,"Out of stock",IF(OR($P801="",$Q801=""),"No window",IF(YEAR(TODAY())&lt;$P801,"Too young",IF(YEAR(TODAY())&gt;$Q801,"Past peak",IF(YEAR(TODAY())=$Q801,"Drink now","Ready"))))))</f>
        <v/>
      </c>
    </row>
    <row r="802">
      <c r="A802" s="32">
        <f>IF($B802="","",IFERROR(IMAGE($B802,4,60,60),""))</f>
        <v/>
      </c>
      <c r="T802" s="68" t="n"/>
      <c r="V802" s="32">
        <f>IF($M802="","",IF($M802=0,"Out of stock",IF(OR($P802="",$Q802=""),"No window",IF(YEAR(TODAY())&lt;$P802,"Too young",IF(YEAR(TODAY())&gt;$Q802,"Past peak",IF(YEAR(TODAY())=$Q802,"Drink now","Ready"))))))</f>
        <v/>
      </c>
    </row>
    <row r="803">
      <c r="A803" s="32">
        <f>IF($B803="","",IFERROR(IMAGE($B803,4,60,60),""))</f>
        <v/>
      </c>
      <c r="T803" s="68" t="n"/>
      <c r="V803" s="32">
        <f>IF($M803="","",IF($M803=0,"Out of stock",IF(OR($P803="",$Q803=""),"No window",IF(YEAR(TODAY())&lt;$P803,"Too young",IF(YEAR(TODAY())&gt;$Q803,"Past peak",IF(YEAR(TODAY())=$Q803,"Drink now","Ready"))))))</f>
        <v/>
      </c>
    </row>
    <row r="804">
      <c r="A804" s="32">
        <f>IF($B804="","",IFERROR(IMAGE($B804,4,60,60),""))</f>
        <v/>
      </c>
      <c r="T804" s="68" t="n"/>
      <c r="V804" s="32">
        <f>IF($M804="","",IF($M804=0,"Out of stock",IF(OR($P804="",$Q804=""),"No window",IF(YEAR(TODAY())&lt;$P804,"Too young",IF(YEAR(TODAY())&gt;$Q804,"Past peak",IF(YEAR(TODAY())=$Q804,"Drink now","Ready"))))))</f>
        <v/>
      </c>
    </row>
    <row r="805">
      <c r="A805" s="32">
        <f>IF($B805="","",IFERROR(IMAGE($B805,4,60,60),""))</f>
        <v/>
      </c>
      <c r="T805" s="68" t="n"/>
      <c r="V805" s="32">
        <f>IF($M805="","",IF($M805=0,"Out of stock",IF(OR($P805="",$Q805=""),"No window",IF(YEAR(TODAY())&lt;$P805,"Too young",IF(YEAR(TODAY())&gt;$Q805,"Past peak",IF(YEAR(TODAY())=$Q805,"Drink now","Ready"))))))</f>
        <v/>
      </c>
    </row>
    <row r="806">
      <c r="A806" s="32">
        <f>IF($B806="","",IFERROR(IMAGE($B806,4,60,60),""))</f>
        <v/>
      </c>
      <c r="T806" s="68" t="n"/>
      <c r="V806" s="32">
        <f>IF($M806="","",IF($M806=0,"Out of stock",IF(OR($P806="",$Q806=""),"No window",IF(YEAR(TODAY())&lt;$P806,"Too young",IF(YEAR(TODAY())&gt;$Q806,"Past peak",IF(YEAR(TODAY())=$Q806,"Drink now","Ready"))))))</f>
        <v/>
      </c>
    </row>
    <row r="807">
      <c r="A807" s="32">
        <f>IF($B807="","",IFERROR(IMAGE($B807,4,60,60),""))</f>
        <v/>
      </c>
      <c r="T807" s="68" t="n"/>
      <c r="V807" s="32">
        <f>IF($M807="","",IF($M807=0,"Out of stock",IF(OR($P807="",$Q807=""),"No window",IF(YEAR(TODAY())&lt;$P807,"Too young",IF(YEAR(TODAY())&gt;$Q807,"Past peak",IF(YEAR(TODAY())=$Q807,"Drink now","Ready"))))))</f>
        <v/>
      </c>
    </row>
    <row r="808">
      <c r="A808" s="32">
        <f>IF($B808="","",IFERROR(IMAGE($B808,4,60,60),""))</f>
        <v/>
      </c>
      <c r="T808" s="68" t="n"/>
      <c r="V808" s="32">
        <f>IF($M808="","",IF($M808=0,"Out of stock",IF(OR($P808="",$Q808=""),"No window",IF(YEAR(TODAY())&lt;$P808,"Too young",IF(YEAR(TODAY())&gt;$Q808,"Past peak",IF(YEAR(TODAY())=$Q808,"Drink now","Ready"))))))</f>
        <v/>
      </c>
    </row>
    <row r="809">
      <c r="A809" s="32">
        <f>IF($B809="","",IFERROR(IMAGE($B809,4,60,60),""))</f>
        <v/>
      </c>
      <c r="T809" s="68" t="n"/>
      <c r="V809" s="32">
        <f>IF($M809="","",IF($M809=0,"Out of stock",IF(OR($P809="",$Q809=""),"No window",IF(YEAR(TODAY())&lt;$P809,"Too young",IF(YEAR(TODAY())&gt;$Q809,"Past peak",IF(YEAR(TODAY())=$Q809,"Drink now","Ready"))))))</f>
        <v/>
      </c>
    </row>
    <row r="810">
      <c r="A810" s="32">
        <f>IF($B810="","",IFERROR(IMAGE($B810,4,60,60),""))</f>
        <v/>
      </c>
      <c r="T810" s="68" t="n"/>
      <c r="V810" s="32">
        <f>IF($M810="","",IF($M810=0,"Out of stock",IF(OR($P810="",$Q810=""),"No window",IF(YEAR(TODAY())&lt;$P810,"Too young",IF(YEAR(TODAY())&gt;$Q810,"Past peak",IF(YEAR(TODAY())=$Q810,"Drink now","Ready"))))))</f>
        <v/>
      </c>
    </row>
    <row r="811">
      <c r="A811" s="32">
        <f>IF($B811="","",IFERROR(IMAGE($B811,4,60,60),""))</f>
        <v/>
      </c>
      <c r="T811" s="68" t="n"/>
      <c r="V811" s="32">
        <f>IF($M811="","",IF($M811=0,"Out of stock",IF(OR($P811="",$Q811=""),"No window",IF(YEAR(TODAY())&lt;$P811,"Too young",IF(YEAR(TODAY())&gt;$Q811,"Past peak",IF(YEAR(TODAY())=$Q811,"Drink now","Ready"))))))</f>
        <v/>
      </c>
    </row>
    <row r="812">
      <c r="A812" s="32">
        <f>IF($B812="","",IFERROR(IMAGE($B812,4,60,60),""))</f>
        <v/>
      </c>
      <c r="T812" s="68" t="n"/>
      <c r="V812" s="32">
        <f>IF($M812="","",IF($M812=0,"Out of stock",IF(OR($P812="",$Q812=""),"No window",IF(YEAR(TODAY())&lt;$P812,"Too young",IF(YEAR(TODAY())&gt;$Q812,"Past peak",IF(YEAR(TODAY())=$Q812,"Drink now","Ready"))))))</f>
        <v/>
      </c>
    </row>
    <row r="813">
      <c r="A813" s="32">
        <f>IF($B813="","",IFERROR(IMAGE($B813,4,60,60),""))</f>
        <v/>
      </c>
      <c r="T813" s="68" t="n"/>
      <c r="V813" s="32">
        <f>IF($M813="","",IF($M813=0,"Out of stock",IF(OR($P813="",$Q813=""),"No window",IF(YEAR(TODAY())&lt;$P813,"Too young",IF(YEAR(TODAY())&gt;$Q813,"Past peak",IF(YEAR(TODAY())=$Q813,"Drink now","Ready"))))))</f>
        <v/>
      </c>
    </row>
    <row r="814">
      <c r="A814" s="32">
        <f>IF($B814="","",IFERROR(IMAGE($B814,4,60,60),""))</f>
        <v/>
      </c>
      <c r="T814" s="68" t="n"/>
      <c r="V814" s="32">
        <f>IF($M814="","",IF($M814=0,"Out of stock",IF(OR($P814="",$Q814=""),"No window",IF(YEAR(TODAY())&lt;$P814,"Too young",IF(YEAR(TODAY())&gt;$Q814,"Past peak",IF(YEAR(TODAY())=$Q814,"Drink now","Ready"))))))</f>
        <v/>
      </c>
    </row>
    <row r="815">
      <c r="A815" s="32">
        <f>IF($B815="","",IFERROR(IMAGE($B815,4,60,60),""))</f>
        <v/>
      </c>
      <c r="T815" s="68" t="n"/>
      <c r="V815" s="32">
        <f>IF($M815="","",IF($M815=0,"Out of stock",IF(OR($P815="",$Q815=""),"No window",IF(YEAR(TODAY())&lt;$P815,"Too young",IF(YEAR(TODAY())&gt;$Q815,"Past peak",IF(YEAR(TODAY())=$Q815,"Drink now","Ready"))))))</f>
        <v/>
      </c>
    </row>
    <row r="816">
      <c r="A816" s="32">
        <f>IF($B816="","",IFERROR(IMAGE($B816,4,60,60),""))</f>
        <v/>
      </c>
      <c r="T816" s="68" t="n"/>
      <c r="V816" s="32">
        <f>IF($M816="","",IF($M816=0,"Out of stock",IF(OR($P816="",$Q816=""),"No window",IF(YEAR(TODAY())&lt;$P816,"Too young",IF(YEAR(TODAY())&gt;$Q816,"Past peak",IF(YEAR(TODAY())=$Q816,"Drink now","Ready"))))))</f>
        <v/>
      </c>
    </row>
    <row r="817">
      <c r="A817" s="32">
        <f>IF($B817="","",IFERROR(IMAGE($B817,4,60,60),""))</f>
        <v/>
      </c>
      <c r="T817" s="68" t="n"/>
      <c r="V817" s="32">
        <f>IF($M817="","",IF($M817=0,"Out of stock",IF(OR($P817="",$Q817=""),"No window",IF(YEAR(TODAY())&lt;$P817,"Too young",IF(YEAR(TODAY())&gt;$Q817,"Past peak",IF(YEAR(TODAY())=$Q817,"Drink now","Ready"))))))</f>
        <v/>
      </c>
    </row>
    <row r="818">
      <c r="A818" s="32">
        <f>IF($B818="","",IFERROR(IMAGE($B818,4,60,60),""))</f>
        <v/>
      </c>
      <c r="T818" s="68" t="n"/>
      <c r="V818" s="32">
        <f>IF($M818="","",IF($M818=0,"Out of stock",IF(OR($P818="",$Q818=""),"No window",IF(YEAR(TODAY())&lt;$P818,"Too young",IF(YEAR(TODAY())&gt;$Q818,"Past peak",IF(YEAR(TODAY())=$Q818,"Drink now","Ready"))))))</f>
        <v/>
      </c>
    </row>
    <row r="819">
      <c r="A819" s="32">
        <f>IF($B819="","",IFERROR(IMAGE($B819,4,60,60),""))</f>
        <v/>
      </c>
      <c r="T819" s="68" t="n"/>
      <c r="V819" s="32">
        <f>IF($M819="","",IF($M819=0,"Out of stock",IF(OR($P819="",$Q819=""),"No window",IF(YEAR(TODAY())&lt;$P819,"Too young",IF(YEAR(TODAY())&gt;$Q819,"Past peak",IF(YEAR(TODAY())=$Q819,"Drink now","Ready"))))))</f>
        <v/>
      </c>
    </row>
    <row r="820">
      <c r="A820" s="32">
        <f>IF($B820="","",IFERROR(IMAGE($B820,4,60,60),""))</f>
        <v/>
      </c>
      <c r="T820" s="68" t="n"/>
      <c r="V820" s="32">
        <f>IF($M820="","",IF($M820=0,"Out of stock",IF(OR($P820="",$Q820=""),"No window",IF(YEAR(TODAY())&lt;$P820,"Too young",IF(YEAR(TODAY())&gt;$Q820,"Past peak",IF(YEAR(TODAY())=$Q820,"Drink now","Ready"))))))</f>
        <v/>
      </c>
    </row>
    <row r="821">
      <c r="A821" s="32">
        <f>IF($B821="","",IFERROR(IMAGE($B821,4,60,60),""))</f>
        <v/>
      </c>
      <c r="T821" s="68" t="n"/>
      <c r="V821" s="32">
        <f>IF($M821="","",IF($M821=0,"Out of stock",IF(OR($P821="",$Q821=""),"No window",IF(YEAR(TODAY())&lt;$P821,"Too young",IF(YEAR(TODAY())&gt;$Q821,"Past peak",IF(YEAR(TODAY())=$Q821,"Drink now","Ready"))))))</f>
        <v/>
      </c>
    </row>
    <row r="822">
      <c r="A822" s="32">
        <f>IF($B822="","",IFERROR(IMAGE($B822,4,60,60),""))</f>
        <v/>
      </c>
      <c r="T822" s="68" t="n"/>
      <c r="V822" s="32">
        <f>IF($M822="","",IF($M822=0,"Out of stock",IF(OR($P822="",$Q822=""),"No window",IF(YEAR(TODAY())&lt;$P822,"Too young",IF(YEAR(TODAY())&gt;$Q822,"Past peak",IF(YEAR(TODAY())=$Q822,"Drink now","Ready"))))))</f>
        <v/>
      </c>
    </row>
    <row r="823">
      <c r="A823" s="32">
        <f>IF($B823="","",IFERROR(IMAGE($B823,4,60,60),""))</f>
        <v/>
      </c>
      <c r="T823" s="68" t="n"/>
      <c r="V823" s="32">
        <f>IF($M823="","",IF($M823=0,"Out of stock",IF(OR($P823="",$Q823=""),"No window",IF(YEAR(TODAY())&lt;$P823,"Too young",IF(YEAR(TODAY())&gt;$Q823,"Past peak",IF(YEAR(TODAY())=$Q823,"Drink now","Ready"))))))</f>
        <v/>
      </c>
    </row>
    <row r="824">
      <c r="A824" s="32">
        <f>IF($B824="","",IFERROR(IMAGE($B824,4,60,60),""))</f>
        <v/>
      </c>
      <c r="T824" s="68" t="n"/>
      <c r="V824" s="32">
        <f>IF($M824="","",IF($M824=0,"Out of stock",IF(OR($P824="",$Q824=""),"No window",IF(YEAR(TODAY())&lt;$P824,"Too young",IF(YEAR(TODAY())&gt;$Q824,"Past peak",IF(YEAR(TODAY())=$Q824,"Drink now","Ready"))))))</f>
        <v/>
      </c>
    </row>
    <row r="825">
      <c r="A825" s="32">
        <f>IF($B825="","",IFERROR(IMAGE($B825,4,60,60),""))</f>
        <v/>
      </c>
      <c r="T825" s="68" t="n"/>
      <c r="V825" s="32">
        <f>IF($M825="","",IF($M825=0,"Out of stock",IF(OR($P825="",$Q825=""),"No window",IF(YEAR(TODAY())&lt;$P825,"Too young",IF(YEAR(TODAY())&gt;$Q825,"Past peak",IF(YEAR(TODAY())=$Q825,"Drink now","Ready"))))))</f>
        <v/>
      </c>
    </row>
    <row r="826">
      <c r="A826" s="32">
        <f>IF($B826="","",IFERROR(IMAGE($B826,4,60,60),""))</f>
        <v/>
      </c>
      <c r="T826" s="68" t="n"/>
      <c r="V826" s="32">
        <f>IF($M826="","",IF($M826=0,"Out of stock",IF(OR($P826="",$Q826=""),"No window",IF(YEAR(TODAY())&lt;$P826,"Too young",IF(YEAR(TODAY())&gt;$Q826,"Past peak",IF(YEAR(TODAY())=$Q826,"Drink now","Ready"))))))</f>
        <v/>
      </c>
    </row>
    <row r="827">
      <c r="A827" s="32">
        <f>IF($B827="","",IFERROR(IMAGE($B827,4,60,60),""))</f>
        <v/>
      </c>
      <c r="T827" s="68" t="n"/>
      <c r="V827" s="32">
        <f>IF($M827="","",IF($M827=0,"Out of stock",IF(OR($P827="",$Q827=""),"No window",IF(YEAR(TODAY())&lt;$P827,"Too young",IF(YEAR(TODAY())&gt;$Q827,"Past peak",IF(YEAR(TODAY())=$Q827,"Drink now","Ready"))))))</f>
        <v/>
      </c>
    </row>
    <row r="828">
      <c r="A828" s="32">
        <f>IF($B828="","",IFERROR(IMAGE($B828,4,60,60),""))</f>
        <v/>
      </c>
      <c r="T828" s="68" t="n"/>
      <c r="V828" s="32">
        <f>IF($M828="","",IF($M828=0,"Out of stock",IF(OR($P828="",$Q828=""),"No window",IF(YEAR(TODAY())&lt;$P828,"Too young",IF(YEAR(TODAY())&gt;$Q828,"Past peak",IF(YEAR(TODAY())=$Q828,"Drink now","Ready"))))))</f>
        <v/>
      </c>
    </row>
    <row r="829">
      <c r="A829" s="32">
        <f>IF($B829="","",IFERROR(IMAGE($B829,4,60,60),""))</f>
        <v/>
      </c>
      <c r="T829" s="68" t="n"/>
      <c r="V829" s="32">
        <f>IF($M829="","",IF($M829=0,"Out of stock",IF(OR($P829="",$Q829=""),"No window",IF(YEAR(TODAY())&lt;$P829,"Too young",IF(YEAR(TODAY())&gt;$Q829,"Past peak",IF(YEAR(TODAY())=$Q829,"Drink now","Ready"))))))</f>
        <v/>
      </c>
    </row>
    <row r="830">
      <c r="A830" s="32">
        <f>IF($B830="","",IFERROR(IMAGE($B830,4,60,60),""))</f>
        <v/>
      </c>
      <c r="T830" s="68" t="n"/>
      <c r="V830" s="32">
        <f>IF($M830="","",IF($M830=0,"Out of stock",IF(OR($P830="",$Q830=""),"No window",IF(YEAR(TODAY())&lt;$P830,"Too young",IF(YEAR(TODAY())&gt;$Q830,"Past peak",IF(YEAR(TODAY())=$Q830,"Drink now","Ready"))))))</f>
        <v/>
      </c>
    </row>
    <row r="831">
      <c r="A831" s="32">
        <f>IF($B831="","",IFERROR(IMAGE($B831,4,60,60),""))</f>
        <v/>
      </c>
      <c r="T831" s="68" t="n"/>
      <c r="V831" s="32">
        <f>IF($M831="","",IF($M831=0,"Out of stock",IF(OR($P831="",$Q831=""),"No window",IF(YEAR(TODAY())&lt;$P831,"Too young",IF(YEAR(TODAY())&gt;$Q831,"Past peak",IF(YEAR(TODAY())=$Q831,"Drink now","Ready"))))))</f>
        <v/>
      </c>
    </row>
    <row r="832">
      <c r="A832" s="32">
        <f>IF($B832="","",IFERROR(IMAGE($B832,4,60,60),""))</f>
        <v/>
      </c>
      <c r="T832" s="68" t="n"/>
      <c r="V832" s="32">
        <f>IF($M832="","",IF($M832=0,"Out of stock",IF(OR($P832="",$Q832=""),"No window",IF(YEAR(TODAY())&lt;$P832,"Too young",IF(YEAR(TODAY())&gt;$Q832,"Past peak",IF(YEAR(TODAY())=$Q832,"Drink now","Ready"))))))</f>
        <v/>
      </c>
    </row>
    <row r="833">
      <c r="A833" s="32">
        <f>IF($B833="","",IFERROR(IMAGE($B833,4,60,60),""))</f>
        <v/>
      </c>
      <c r="T833" s="68" t="n"/>
      <c r="V833" s="32">
        <f>IF($M833="","",IF($M833=0,"Out of stock",IF(OR($P833="",$Q833=""),"No window",IF(YEAR(TODAY())&lt;$P833,"Too young",IF(YEAR(TODAY())&gt;$Q833,"Past peak",IF(YEAR(TODAY())=$Q833,"Drink now","Ready"))))))</f>
        <v/>
      </c>
    </row>
    <row r="834">
      <c r="A834" s="32">
        <f>IF($B834="","",IFERROR(IMAGE($B834,4,60,60),""))</f>
        <v/>
      </c>
      <c r="T834" s="68" t="n"/>
      <c r="V834" s="32">
        <f>IF($M834="","",IF($M834=0,"Out of stock",IF(OR($P834="",$Q834=""),"No window",IF(YEAR(TODAY())&lt;$P834,"Too young",IF(YEAR(TODAY())&gt;$Q834,"Past peak",IF(YEAR(TODAY())=$Q834,"Drink now","Ready"))))))</f>
        <v/>
      </c>
    </row>
    <row r="835">
      <c r="A835" s="32">
        <f>IF($B835="","",IFERROR(IMAGE($B835,4,60,60),""))</f>
        <v/>
      </c>
      <c r="T835" s="68" t="n"/>
      <c r="V835" s="32">
        <f>IF($M835="","",IF($M835=0,"Out of stock",IF(OR($P835="",$Q835=""),"No window",IF(YEAR(TODAY())&lt;$P835,"Too young",IF(YEAR(TODAY())&gt;$Q835,"Past peak",IF(YEAR(TODAY())=$Q835,"Drink now","Ready"))))))</f>
        <v/>
      </c>
    </row>
    <row r="836">
      <c r="A836" s="32">
        <f>IF($B836="","",IFERROR(IMAGE($B836,4,60,60),""))</f>
        <v/>
      </c>
      <c r="T836" s="68" t="n"/>
      <c r="V836" s="32">
        <f>IF($M836="","",IF($M836=0,"Out of stock",IF(OR($P836="",$Q836=""),"No window",IF(YEAR(TODAY())&lt;$P836,"Too young",IF(YEAR(TODAY())&gt;$Q836,"Past peak",IF(YEAR(TODAY())=$Q836,"Drink now","Ready"))))))</f>
        <v/>
      </c>
    </row>
    <row r="837">
      <c r="A837" s="32">
        <f>IF($B837="","",IFERROR(IMAGE($B837,4,60,60),""))</f>
        <v/>
      </c>
      <c r="T837" s="68" t="n"/>
      <c r="V837" s="32">
        <f>IF($M837="","",IF($M837=0,"Out of stock",IF(OR($P837="",$Q837=""),"No window",IF(YEAR(TODAY())&lt;$P837,"Too young",IF(YEAR(TODAY())&gt;$Q837,"Past peak",IF(YEAR(TODAY())=$Q837,"Drink now","Ready"))))))</f>
        <v/>
      </c>
    </row>
    <row r="838">
      <c r="A838" s="32">
        <f>IF($B838="","",IFERROR(IMAGE($B838,4,60,60),""))</f>
        <v/>
      </c>
      <c r="T838" s="68" t="n"/>
      <c r="V838" s="32">
        <f>IF($M838="","",IF($M838=0,"Out of stock",IF(OR($P838="",$Q838=""),"No window",IF(YEAR(TODAY())&lt;$P838,"Too young",IF(YEAR(TODAY())&gt;$Q838,"Past peak",IF(YEAR(TODAY())=$Q838,"Drink now","Ready"))))))</f>
        <v/>
      </c>
    </row>
    <row r="839">
      <c r="A839" s="32">
        <f>IF($B839="","",IFERROR(IMAGE($B839,4,60,60),""))</f>
        <v/>
      </c>
      <c r="T839" s="68" t="n"/>
      <c r="V839" s="32">
        <f>IF($M839="","",IF($M839=0,"Out of stock",IF(OR($P839="",$Q839=""),"No window",IF(YEAR(TODAY())&lt;$P839,"Too young",IF(YEAR(TODAY())&gt;$Q839,"Past peak",IF(YEAR(TODAY())=$Q839,"Drink now","Ready"))))))</f>
        <v/>
      </c>
    </row>
    <row r="840">
      <c r="A840" s="32">
        <f>IF($B840="","",IFERROR(IMAGE($B840,4,60,60),""))</f>
        <v/>
      </c>
      <c r="T840" s="68" t="n"/>
      <c r="V840" s="32">
        <f>IF($M840="","",IF($M840=0,"Out of stock",IF(OR($P840="",$Q840=""),"No window",IF(YEAR(TODAY())&lt;$P840,"Too young",IF(YEAR(TODAY())&gt;$Q840,"Past peak",IF(YEAR(TODAY())=$Q840,"Drink now","Ready"))))))</f>
        <v/>
      </c>
    </row>
    <row r="841">
      <c r="A841" s="32">
        <f>IF($B841="","",IFERROR(IMAGE($B841,4,60,60),""))</f>
        <v/>
      </c>
      <c r="T841" s="68" t="n"/>
      <c r="V841" s="32">
        <f>IF($M841="","",IF($M841=0,"Out of stock",IF(OR($P841="",$Q841=""),"No window",IF(YEAR(TODAY())&lt;$P841,"Too young",IF(YEAR(TODAY())&gt;$Q841,"Past peak",IF(YEAR(TODAY())=$Q841,"Drink now","Ready"))))))</f>
        <v/>
      </c>
    </row>
    <row r="842">
      <c r="A842" s="32">
        <f>IF($B842="","",IFERROR(IMAGE($B842,4,60,60),""))</f>
        <v/>
      </c>
      <c r="T842" s="68" t="n"/>
      <c r="V842" s="32">
        <f>IF($M842="","",IF($M842=0,"Out of stock",IF(OR($P842="",$Q842=""),"No window",IF(YEAR(TODAY())&lt;$P842,"Too young",IF(YEAR(TODAY())&gt;$Q842,"Past peak",IF(YEAR(TODAY())=$Q842,"Drink now","Ready"))))))</f>
        <v/>
      </c>
    </row>
    <row r="843">
      <c r="A843" s="32">
        <f>IF($B843="","",IFERROR(IMAGE($B843,4,60,60),""))</f>
        <v/>
      </c>
      <c r="T843" s="68" t="n"/>
      <c r="V843" s="32">
        <f>IF($M843="","",IF($M843=0,"Out of stock",IF(OR($P843="",$Q843=""),"No window",IF(YEAR(TODAY())&lt;$P843,"Too young",IF(YEAR(TODAY())&gt;$Q843,"Past peak",IF(YEAR(TODAY())=$Q843,"Drink now","Ready"))))))</f>
        <v/>
      </c>
    </row>
    <row r="844">
      <c r="A844" s="32">
        <f>IF($B844="","",IFERROR(IMAGE($B844,4,60,60),""))</f>
        <v/>
      </c>
      <c r="T844" s="68" t="n"/>
      <c r="V844" s="32">
        <f>IF($M844="","",IF($M844=0,"Out of stock",IF(OR($P844="",$Q844=""),"No window",IF(YEAR(TODAY())&lt;$P844,"Too young",IF(YEAR(TODAY())&gt;$Q844,"Past peak",IF(YEAR(TODAY())=$Q844,"Drink now","Ready"))))))</f>
        <v/>
      </c>
    </row>
    <row r="845">
      <c r="A845" s="32">
        <f>IF($B845="","",IFERROR(IMAGE($B845,4,60,60),""))</f>
        <v/>
      </c>
      <c r="T845" s="68" t="n"/>
      <c r="V845" s="32">
        <f>IF($M845="","",IF($M845=0,"Out of stock",IF(OR($P845="",$Q845=""),"No window",IF(YEAR(TODAY())&lt;$P845,"Too young",IF(YEAR(TODAY())&gt;$Q845,"Past peak",IF(YEAR(TODAY())=$Q845,"Drink now","Ready"))))))</f>
        <v/>
      </c>
    </row>
    <row r="846">
      <c r="A846" s="32">
        <f>IF($B846="","",IFERROR(IMAGE($B846,4,60,60),""))</f>
        <v/>
      </c>
      <c r="T846" s="68" t="n"/>
      <c r="V846" s="32">
        <f>IF($M846="","",IF($M846=0,"Out of stock",IF(OR($P846="",$Q846=""),"No window",IF(YEAR(TODAY())&lt;$P846,"Too young",IF(YEAR(TODAY())&gt;$Q846,"Past peak",IF(YEAR(TODAY())=$Q846,"Drink now","Ready"))))))</f>
        <v/>
      </c>
    </row>
    <row r="847">
      <c r="A847" s="32">
        <f>IF($B847="","",IFERROR(IMAGE($B847,4,60,60),""))</f>
        <v/>
      </c>
      <c r="T847" s="68" t="n"/>
      <c r="V847" s="32">
        <f>IF($M847="","",IF($M847=0,"Out of stock",IF(OR($P847="",$Q847=""),"No window",IF(YEAR(TODAY())&lt;$P847,"Too young",IF(YEAR(TODAY())&gt;$Q847,"Past peak",IF(YEAR(TODAY())=$Q847,"Drink now","Ready"))))))</f>
        <v/>
      </c>
    </row>
    <row r="848">
      <c r="A848" s="32">
        <f>IF($B848="","",IFERROR(IMAGE($B848,4,60,60),""))</f>
        <v/>
      </c>
      <c r="T848" s="68" t="n"/>
      <c r="V848" s="32">
        <f>IF($M848="","",IF($M848=0,"Out of stock",IF(OR($P848="",$Q848=""),"No window",IF(YEAR(TODAY())&lt;$P848,"Too young",IF(YEAR(TODAY())&gt;$Q848,"Past peak",IF(YEAR(TODAY())=$Q848,"Drink now","Ready"))))))</f>
        <v/>
      </c>
    </row>
    <row r="849">
      <c r="A849" s="32">
        <f>IF($B849="","",IFERROR(IMAGE($B849,4,60,60),""))</f>
        <v/>
      </c>
      <c r="T849" s="68" t="n"/>
      <c r="V849" s="32">
        <f>IF($M849="","",IF($M849=0,"Out of stock",IF(OR($P849="",$Q849=""),"No window",IF(YEAR(TODAY())&lt;$P849,"Too young",IF(YEAR(TODAY())&gt;$Q849,"Past peak",IF(YEAR(TODAY())=$Q849,"Drink now","Ready"))))))</f>
        <v/>
      </c>
    </row>
    <row r="850">
      <c r="A850" s="32">
        <f>IF($B850="","",IFERROR(IMAGE($B850,4,60,60),""))</f>
        <v/>
      </c>
      <c r="T850" s="68" t="n"/>
      <c r="V850" s="32">
        <f>IF($M850="","",IF($M850=0,"Out of stock",IF(OR($P850="",$Q850=""),"No window",IF(YEAR(TODAY())&lt;$P850,"Too young",IF(YEAR(TODAY())&gt;$Q850,"Past peak",IF(YEAR(TODAY())=$Q850,"Drink now","Ready"))))))</f>
        <v/>
      </c>
    </row>
    <row r="851">
      <c r="A851" s="32">
        <f>IF($B851="","",IFERROR(IMAGE($B851,4,60,60),""))</f>
        <v/>
      </c>
      <c r="T851" s="68" t="n"/>
      <c r="V851" s="32">
        <f>IF($M851="","",IF($M851=0,"Out of stock",IF(OR($P851="",$Q851=""),"No window",IF(YEAR(TODAY())&lt;$P851,"Too young",IF(YEAR(TODAY())&gt;$Q851,"Past peak",IF(YEAR(TODAY())=$Q851,"Drink now","Ready"))))))</f>
        <v/>
      </c>
    </row>
    <row r="852">
      <c r="A852" s="32">
        <f>IF($B852="","",IFERROR(IMAGE($B852,4,60,60),""))</f>
        <v/>
      </c>
      <c r="T852" s="68" t="n"/>
      <c r="V852" s="32">
        <f>IF($M852="","",IF($M852=0,"Out of stock",IF(OR($P852="",$Q852=""),"No window",IF(YEAR(TODAY())&lt;$P852,"Too young",IF(YEAR(TODAY())&gt;$Q852,"Past peak",IF(YEAR(TODAY())=$Q852,"Drink now","Ready"))))))</f>
        <v/>
      </c>
    </row>
    <row r="853">
      <c r="A853" s="32">
        <f>IF($B853="","",IFERROR(IMAGE($B853,4,60,60),""))</f>
        <v/>
      </c>
      <c r="T853" s="68" t="n"/>
      <c r="V853" s="32">
        <f>IF($M853="","",IF($M853=0,"Out of stock",IF(OR($P853="",$Q853=""),"No window",IF(YEAR(TODAY())&lt;$P853,"Too young",IF(YEAR(TODAY())&gt;$Q853,"Past peak",IF(YEAR(TODAY())=$Q853,"Drink now","Ready"))))))</f>
        <v/>
      </c>
    </row>
    <row r="854">
      <c r="A854" s="32">
        <f>IF($B854="","",IFERROR(IMAGE($B854,4,60,60),""))</f>
        <v/>
      </c>
      <c r="T854" s="68" t="n"/>
      <c r="V854" s="32">
        <f>IF($M854="","",IF($M854=0,"Out of stock",IF(OR($P854="",$Q854=""),"No window",IF(YEAR(TODAY())&lt;$P854,"Too young",IF(YEAR(TODAY())&gt;$Q854,"Past peak",IF(YEAR(TODAY())=$Q854,"Drink now","Ready"))))))</f>
        <v/>
      </c>
    </row>
    <row r="855">
      <c r="A855" s="32">
        <f>IF($B855="","",IFERROR(IMAGE($B855,4,60,60),""))</f>
        <v/>
      </c>
      <c r="T855" s="68" t="n"/>
      <c r="V855" s="32">
        <f>IF($M855="","",IF($M855=0,"Out of stock",IF(OR($P855="",$Q855=""),"No window",IF(YEAR(TODAY())&lt;$P855,"Too young",IF(YEAR(TODAY())&gt;$Q855,"Past peak",IF(YEAR(TODAY())=$Q855,"Drink now","Ready"))))))</f>
        <v/>
      </c>
    </row>
    <row r="856">
      <c r="A856" s="32">
        <f>IF($B856="","",IFERROR(IMAGE($B856,4,60,60),""))</f>
        <v/>
      </c>
      <c r="T856" s="68" t="n"/>
      <c r="V856" s="32">
        <f>IF($M856="","",IF($M856=0,"Out of stock",IF(OR($P856="",$Q856=""),"No window",IF(YEAR(TODAY())&lt;$P856,"Too young",IF(YEAR(TODAY())&gt;$Q856,"Past peak",IF(YEAR(TODAY())=$Q856,"Drink now","Ready"))))))</f>
        <v/>
      </c>
    </row>
    <row r="857">
      <c r="A857" s="32">
        <f>IF($B857="","",IFERROR(IMAGE($B857,4,60,60),""))</f>
        <v/>
      </c>
      <c r="T857" s="68" t="n"/>
      <c r="V857" s="32">
        <f>IF($M857="","",IF($M857=0,"Out of stock",IF(OR($P857="",$Q857=""),"No window",IF(YEAR(TODAY())&lt;$P857,"Too young",IF(YEAR(TODAY())&gt;$Q857,"Past peak",IF(YEAR(TODAY())=$Q857,"Drink now","Ready"))))))</f>
        <v/>
      </c>
    </row>
    <row r="858">
      <c r="A858" s="32">
        <f>IF($B858="","",IFERROR(IMAGE($B858,4,60,60),""))</f>
        <v/>
      </c>
      <c r="T858" s="68" t="n"/>
      <c r="V858" s="32">
        <f>IF($M858="","",IF($M858=0,"Out of stock",IF(OR($P858="",$Q858=""),"No window",IF(YEAR(TODAY())&lt;$P858,"Too young",IF(YEAR(TODAY())&gt;$Q858,"Past peak",IF(YEAR(TODAY())=$Q858,"Drink now","Ready"))))))</f>
        <v/>
      </c>
    </row>
    <row r="859">
      <c r="A859" s="32">
        <f>IF($B859="","",IFERROR(IMAGE($B859,4,60,60),""))</f>
        <v/>
      </c>
      <c r="T859" s="68" t="n"/>
      <c r="V859" s="32">
        <f>IF($M859="","",IF($M859=0,"Out of stock",IF(OR($P859="",$Q859=""),"No window",IF(YEAR(TODAY())&lt;$P859,"Too young",IF(YEAR(TODAY())&gt;$Q859,"Past peak",IF(YEAR(TODAY())=$Q859,"Drink now","Ready"))))))</f>
        <v/>
      </c>
    </row>
    <row r="860">
      <c r="A860" s="32">
        <f>IF($B860="","",IFERROR(IMAGE($B860,4,60,60),""))</f>
        <v/>
      </c>
      <c r="T860" s="68" t="n"/>
      <c r="V860" s="32">
        <f>IF($M860="","",IF($M860=0,"Out of stock",IF(OR($P860="",$Q860=""),"No window",IF(YEAR(TODAY())&lt;$P860,"Too young",IF(YEAR(TODAY())&gt;$Q860,"Past peak",IF(YEAR(TODAY())=$Q860,"Drink now","Ready"))))))</f>
        <v/>
      </c>
    </row>
    <row r="861">
      <c r="A861" s="32">
        <f>IF($B861="","",IFERROR(IMAGE($B861,4,60,60),""))</f>
        <v/>
      </c>
      <c r="T861" s="68" t="n"/>
      <c r="V861" s="32">
        <f>IF($M861="","",IF($M861=0,"Out of stock",IF(OR($P861="",$Q861=""),"No window",IF(YEAR(TODAY())&lt;$P861,"Too young",IF(YEAR(TODAY())&gt;$Q861,"Past peak",IF(YEAR(TODAY())=$Q861,"Drink now","Ready"))))))</f>
        <v/>
      </c>
    </row>
    <row r="862">
      <c r="A862" s="32">
        <f>IF($B862="","",IFERROR(IMAGE($B862,4,60,60),""))</f>
        <v/>
      </c>
      <c r="T862" s="68" t="n"/>
      <c r="V862" s="32">
        <f>IF($M862="","",IF($M862=0,"Out of stock",IF(OR($P862="",$Q862=""),"No window",IF(YEAR(TODAY())&lt;$P862,"Too young",IF(YEAR(TODAY())&gt;$Q862,"Past peak",IF(YEAR(TODAY())=$Q862,"Drink now","Ready"))))))</f>
        <v/>
      </c>
    </row>
    <row r="863">
      <c r="A863" s="32">
        <f>IF($B863="","",IFERROR(IMAGE($B863,4,60,60),""))</f>
        <v/>
      </c>
      <c r="T863" s="68" t="n"/>
      <c r="V863" s="32">
        <f>IF($M863="","",IF($M863=0,"Out of stock",IF(OR($P863="",$Q863=""),"No window",IF(YEAR(TODAY())&lt;$P863,"Too young",IF(YEAR(TODAY())&gt;$Q863,"Past peak",IF(YEAR(TODAY())=$Q863,"Drink now","Ready"))))))</f>
        <v/>
      </c>
    </row>
    <row r="864">
      <c r="A864" s="32">
        <f>IF($B864="","",IFERROR(IMAGE($B864,4,60,60),""))</f>
        <v/>
      </c>
      <c r="T864" s="68" t="n"/>
      <c r="V864" s="32">
        <f>IF($M864="","",IF($M864=0,"Out of stock",IF(OR($P864="",$Q864=""),"No window",IF(YEAR(TODAY())&lt;$P864,"Too young",IF(YEAR(TODAY())&gt;$Q864,"Past peak",IF(YEAR(TODAY())=$Q864,"Drink now","Ready"))))))</f>
        <v/>
      </c>
    </row>
    <row r="865">
      <c r="A865" s="32">
        <f>IF($B865="","",IFERROR(IMAGE($B865,4,60,60),""))</f>
        <v/>
      </c>
      <c r="T865" s="68" t="n"/>
      <c r="V865" s="32">
        <f>IF($M865="","",IF($M865=0,"Out of stock",IF(OR($P865="",$Q865=""),"No window",IF(YEAR(TODAY())&lt;$P865,"Too young",IF(YEAR(TODAY())&gt;$Q865,"Past peak",IF(YEAR(TODAY())=$Q865,"Drink now","Ready"))))))</f>
        <v/>
      </c>
    </row>
    <row r="866">
      <c r="A866" s="32">
        <f>IF($B866="","",IFERROR(IMAGE($B866,4,60,60),""))</f>
        <v/>
      </c>
      <c r="T866" s="68" t="n"/>
      <c r="V866" s="32">
        <f>IF($M866="","",IF($M866=0,"Out of stock",IF(OR($P866="",$Q866=""),"No window",IF(YEAR(TODAY())&lt;$P866,"Too young",IF(YEAR(TODAY())&gt;$Q866,"Past peak",IF(YEAR(TODAY())=$Q866,"Drink now","Ready"))))))</f>
        <v/>
      </c>
    </row>
    <row r="867">
      <c r="A867" s="32">
        <f>IF($B867="","",IFERROR(IMAGE($B867,4,60,60),""))</f>
        <v/>
      </c>
      <c r="T867" s="68" t="n"/>
      <c r="V867" s="32">
        <f>IF($M867="","",IF($M867=0,"Out of stock",IF(OR($P867="",$Q867=""),"No window",IF(YEAR(TODAY())&lt;$P867,"Too young",IF(YEAR(TODAY())&gt;$Q867,"Past peak",IF(YEAR(TODAY())=$Q867,"Drink now","Ready"))))))</f>
        <v/>
      </c>
    </row>
    <row r="868">
      <c r="A868" s="32">
        <f>IF($B868="","",IFERROR(IMAGE($B868,4,60,60),""))</f>
        <v/>
      </c>
      <c r="T868" s="68" t="n"/>
      <c r="V868" s="32">
        <f>IF($M868="","",IF($M868=0,"Out of stock",IF(OR($P868="",$Q868=""),"No window",IF(YEAR(TODAY())&lt;$P868,"Too young",IF(YEAR(TODAY())&gt;$Q868,"Past peak",IF(YEAR(TODAY())=$Q868,"Drink now","Ready"))))))</f>
        <v/>
      </c>
    </row>
    <row r="869">
      <c r="A869" s="32">
        <f>IF($B869="","",IFERROR(IMAGE($B869,4,60,60),""))</f>
        <v/>
      </c>
      <c r="T869" s="68" t="n"/>
      <c r="V869" s="32">
        <f>IF($M869="","",IF($M869=0,"Out of stock",IF(OR($P869="",$Q869=""),"No window",IF(YEAR(TODAY())&lt;$P869,"Too young",IF(YEAR(TODAY())&gt;$Q869,"Past peak",IF(YEAR(TODAY())=$Q869,"Drink now","Ready"))))))</f>
        <v/>
      </c>
    </row>
    <row r="870">
      <c r="A870" s="32">
        <f>IF($B870="","",IFERROR(IMAGE($B870,4,60,60),""))</f>
        <v/>
      </c>
      <c r="T870" s="68" t="n"/>
      <c r="V870" s="32">
        <f>IF($M870="","",IF($M870=0,"Out of stock",IF(OR($P870="",$Q870=""),"No window",IF(YEAR(TODAY())&lt;$P870,"Too young",IF(YEAR(TODAY())&gt;$Q870,"Past peak",IF(YEAR(TODAY())=$Q870,"Drink now","Ready"))))))</f>
        <v/>
      </c>
    </row>
    <row r="871">
      <c r="A871" s="32">
        <f>IF($B871="","",IFERROR(IMAGE($B871,4,60,60),""))</f>
        <v/>
      </c>
      <c r="T871" s="68" t="n"/>
      <c r="V871" s="32">
        <f>IF($M871="","",IF($M871=0,"Out of stock",IF(OR($P871="",$Q871=""),"No window",IF(YEAR(TODAY())&lt;$P871,"Too young",IF(YEAR(TODAY())&gt;$Q871,"Past peak",IF(YEAR(TODAY())=$Q871,"Drink now","Ready"))))))</f>
        <v/>
      </c>
    </row>
    <row r="872">
      <c r="A872" s="32">
        <f>IF($B872="","",IFERROR(IMAGE($B872,4,60,60),""))</f>
        <v/>
      </c>
      <c r="T872" s="68" t="n"/>
      <c r="V872" s="32">
        <f>IF($M872="","",IF($M872=0,"Out of stock",IF(OR($P872="",$Q872=""),"No window",IF(YEAR(TODAY())&lt;$P872,"Too young",IF(YEAR(TODAY())&gt;$Q872,"Past peak",IF(YEAR(TODAY())=$Q872,"Drink now","Ready"))))))</f>
        <v/>
      </c>
    </row>
    <row r="873">
      <c r="A873" s="32">
        <f>IF($B873="","",IFERROR(IMAGE($B873,4,60,60),""))</f>
        <v/>
      </c>
      <c r="T873" s="68" t="n"/>
      <c r="V873" s="32">
        <f>IF($M873="","",IF($M873=0,"Out of stock",IF(OR($P873="",$Q873=""),"No window",IF(YEAR(TODAY())&lt;$P873,"Too young",IF(YEAR(TODAY())&gt;$Q873,"Past peak",IF(YEAR(TODAY())=$Q873,"Drink now","Ready"))))))</f>
        <v/>
      </c>
    </row>
    <row r="874">
      <c r="A874" s="32">
        <f>IF($B874="","",IFERROR(IMAGE($B874,4,60,60),""))</f>
        <v/>
      </c>
      <c r="T874" s="68" t="n"/>
      <c r="V874" s="32">
        <f>IF($M874="","",IF($M874=0,"Out of stock",IF(OR($P874="",$Q874=""),"No window",IF(YEAR(TODAY())&lt;$P874,"Too young",IF(YEAR(TODAY())&gt;$Q874,"Past peak",IF(YEAR(TODAY())=$Q874,"Drink now","Ready"))))))</f>
        <v/>
      </c>
    </row>
    <row r="875">
      <c r="A875" s="32">
        <f>IF($B875="","",IFERROR(IMAGE($B875,4,60,60),""))</f>
        <v/>
      </c>
      <c r="T875" s="68" t="n"/>
      <c r="V875" s="32">
        <f>IF($M875="","",IF($M875=0,"Out of stock",IF(OR($P875="",$Q875=""),"No window",IF(YEAR(TODAY())&lt;$P875,"Too young",IF(YEAR(TODAY())&gt;$Q875,"Past peak",IF(YEAR(TODAY())=$Q875,"Drink now","Ready"))))))</f>
        <v/>
      </c>
    </row>
    <row r="876">
      <c r="A876" s="32">
        <f>IF($B876="","",IFERROR(IMAGE($B876,4,60,60),""))</f>
        <v/>
      </c>
      <c r="T876" s="68" t="n"/>
      <c r="V876" s="32">
        <f>IF($M876="","",IF($M876=0,"Out of stock",IF(OR($P876="",$Q876=""),"No window",IF(YEAR(TODAY())&lt;$P876,"Too young",IF(YEAR(TODAY())&gt;$Q876,"Past peak",IF(YEAR(TODAY())=$Q876,"Drink now","Ready"))))))</f>
        <v/>
      </c>
    </row>
    <row r="877">
      <c r="A877" s="32">
        <f>IF($B877="","",IFERROR(IMAGE($B877,4,60,60),""))</f>
        <v/>
      </c>
      <c r="T877" s="68" t="n"/>
      <c r="V877" s="32">
        <f>IF($M877="","",IF($M877=0,"Out of stock",IF(OR($P877="",$Q877=""),"No window",IF(YEAR(TODAY())&lt;$P877,"Too young",IF(YEAR(TODAY())&gt;$Q877,"Past peak",IF(YEAR(TODAY())=$Q877,"Drink now","Ready"))))))</f>
        <v/>
      </c>
    </row>
    <row r="878">
      <c r="A878" s="32">
        <f>IF($B878="","",IFERROR(IMAGE($B878,4,60,60),""))</f>
        <v/>
      </c>
      <c r="T878" s="68" t="n"/>
      <c r="V878" s="32">
        <f>IF($M878="","",IF($M878=0,"Out of stock",IF(OR($P878="",$Q878=""),"No window",IF(YEAR(TODAY())&lt;$P878,"Too young",IF(YEAR(TODAY())&gt;$Q878,"Past peak",IF(YEAR(TODAY())=$Q878,"Drink now","Ready"))))))</f>
        <v/>
      </c>
    </row>
    <row r="879">
      <c r="A879" s="32">
        <f>IF($B879="","",IFERROR(IMAGE($B879,4,60,60),""))</f>
        <v/>
      </c>
      <c r="T879" s="68" t="n"/>
      <c r="V879" s="32">
        <f>IF($M879="","",IF($M879=0,"Out of stock",IF(OR($P879="",$Q879=""),"No window",IF(YEAR(TODAY())&lt;$P879,"Too young",IF(YEAR(TODAY())&gt;$Q879,"Past peak",IF(YEAR(TODAY())=$Q879,"Drink now","Ready"))))))</f>
        <v/>
      </c>
    </row>
    <row r="880">
      <c r="A880" s="32">
        <f>IF($B880="","",IFERROR(IMAGE($B880,4,60,60),""))</f>
        <v/>
      </c>
      <c r="T880" s="68" t="n"/>
      <c r="V880" s="32">
        <f>IF($M880="","",IF($M880=0,"Out of stock",IF(OR($P880="",$Q880=""),"No window",IF(YEAR(TODAY())&lt;$P880,"Too young",IF(YEAR(TODAY())&gt;$Q880,"Past peak",IF(YEAR(TODAY())=$Q880,"Drink now","Ready"))))))</f>
        <v/>
      </c>
    </row>
    <row r="881">
      <c r="A881" s="32">
        <f>IF($B881="","",IFERROR(IMAGE($B881,4,60,60),""))</f>
        <v/>
      </c>
      <c r="T881" s="68" t="n"/>
      <c r="V881" s="32">
        <f>IF($M881="","",IF($M881=0,"Out of stock",IF(OR($P881="",$Q881=""),"No window",IF(YEAR(TODAY())&lt;$P881,"Too young",IF(YEAR(TODAY())&gt;$Q881,"Past peak",IF(YEAR(TODAY())=$Q881,"Drink now","Ready"))))))</f>
        <v/>
      </c>
    </row>
    <row r="882">
      <c r="A882" s="32">
        <f>IF($B882="","",IFERROR(IMAGE($B882,4,60,60),""))</f>
        <v/>
      </c>
      <c r="T882" s="68" t="n"/>
      <c r="V882" s="32">
        <f>IF($M882="","",IF($M882=0,"Out of stock",IF(OR($P882="",$Q882=""),"No window",IF(YEAR(TODAY())&lt;$P882,"Too young",IF(YEAR(TODAY())&gt;$Q882,"Past peak",IF(YEAR(TODAY())=$Q882,"Drink now","Ready"))))))</f>
        <v/>
      </c>
    </row>
    <row r="883">
      <c r="A883" s="32">
        <f>IF($B883="","",IFERROR(IMAGE($B883,4,60,60),""))</f>
        <v/>
      </c>
      <c r="T883" s="68" t="n"/>
      <c r="V883" s="32">
        <f>IF($M883="","",IF($M883=0,"Out of stock",IF(OR($P883="",$Q883=""),"No window",IF(YEAR(TODAY())&lt;$P883,"Too young",IF(YEAR(TODAY())&gt;$Q883,"Past peak",IF(YEAR(TODAY())=$Q883,"Drink now","Ready"))))))</f>
        <v/>
      </c>
    </row>
    <row r="884">
      <c r="A884" s="32">
        <f>IF($B884="","",IFERROR(IMAGE($B884,4,60,60),""))</f>
        <v/>
      </c>
      <c r="T884" s="68" t="n"/>
      <c r="V884" s="32">
        <f>IF($M884="","",IF($M884=0,"Out of stock",IF(OR($P884="",$Q884=""),"No window",IF(YEAR(TODAY())&lt;$P884,"Too young",IF(YEAR(TODAY())&gt;$Q884,"Past peak",IF(YEAR(TODAY())=$Q884,"Drink now","Ready"))))))</f>
        <v/>
      </c>
    </row>
    <row r="885">
      <c r="A885" s="32">
        <f>IF($B885="","",IFERROR(IMAGE($B885,4,60,60),""))</f>
        <v/>
      </c>
      <c r="T885" s="68" t="n"/>
      <c r="V885" s="32">
        <f>IF($M885="","",IF($M885=0,"Out of stock",IF(OR($P885="",$Q885=""),"No window",IF(YEAR(TODAY())&lt;$P885,"Too young",IF(YEAR(TODAY())&gt;$Q885,"Past peak",IF(YEAR(TODAY())=$Q885,"Drink now","Ready"))))))</f>
        <v/>
      </c>
    </row>
    <row r="886">
      <c r="A886" s="32">
        <f>IF($B886="","",IFERROR(IMAGE($B886,4,60,60),""))</f>
        <v/>
      </c>
      <c r="T886" s="68" t="n"/>
      <c r="V886" s="32">
        <f>IF($M886="","",IF($M886=0,"Out of stock",IF(OR($P886="",$Q886=""),"No window",IF(YEAR(TODAY())&lt;$P886,"Too young",IF(YEAR(TODAY())&gt;$Q886,"Past peak",IF(YEAR(TODAY())=$Q886,"Drink now","Ready"))))))</f>
        <v/>
      </c>
    </row>
    <row r="887">
      <c r="A887" s="32">
        <f>IF($B887="","",IFERROR(IMAGE($B887,4,60,60),""))</f>
        <v/>
      </c>
      <c r="T887" s="68" t="n"/>
      <c r="V887" s="32">
        <f>IF($M887="","",IF($M887=0,"Out of stock",IF(OR($P887="",$Q887=""),"No window",IF(YEAR(TODAY())&lt;$P887,"Too young",IF(YEAR(TODAY())&gt;$Q887,"Past peak",IF(YEAR(TODAY())=$Q887,"Drink now","Ready"))))))</f>
        <v/>
      </c>
    </row>
    <row r="888">
      <c r="A888" s="32">
        <f>IF($B888="","",IFERROR(IMAGE($B888,4,60,60),""))</f>
        <v/>
      </c>
      <c r="T888" s="68" t="n"/>
      <c r="V888" s="32">
        <f>IF($M888="","",IF($M888=0,"Out of stock",IF(OR($P888="",$Q888=""),"No window",IF(YEAR(TODAY())&lt;$P888,"Too young",IF(YEAR(TODAY())&gt;$Q888,"Past peak",IF(YEAR(TODAY())=$Q888,"Drink now","Ready"))))))</f>
        <v/>
      </c>
    </row>
    <row r="889">
      <c r="A889" s="32">
        <f>IF($B889="","",IFERROR(IMAGE($B889,4,60,60),""))</f>
        <v/>
      </c>
      <c r="T889" s="68" t="n"/>
      <c r="V889" s="32">
        <f>IF($M889="","",IF($M889=0,"Out of stock",IF(OR($P889="",$Q889=""),"No window",IF(YEAR(TODAY())&lt;$P889,"Too young",IF(YEAR(TODAY())&gt;$Q889,"Past peak",IF(YEAR(TODAY())=$Q889,"Drink now","Ready"))))))</f>
        <v/>
      </c>
    </row>
    <row r="890">
      <c r="A890" s="32">
        <f>IF($B890="","",IFERROR(IMAGE($B890,4,60,60),""))</f>
        <v/>
      </c>
      <c r="T890" s="68" t="n"/>
      <c r="V890" s="32">
        <f>IF($M890="","",IF($M890=0,"Out of stock",IF(OR($P890="",$Q890=""),"No window",IF(YEAR(TODAY())&lt;$P890,"Too young",IF(YEAR(TODAY())&gt;$Q890,"Past peak",IF(YEAR(TODAY())=$Q890,"Drink now","Ready"))))))</f>
        <v/>
      </c>
    </row>
    <row r="891">
      <c r="A891" s="32">
        <f>IF($B891="","",IFERROR(IMAGE($B891,4,60,60),""))</f>
        <v/>
      </c>
      <c r="T891" s="68" t="n"/>
      <c r="V891" s="32">
        <f>IF($M891="","",IF($M891=0,"Out of stock",IF(OR($P891="",$Q891=""),"No window",IF(YEAR(TODAY())&lt;$P891,"Too young",IF(YEAR(TODAY())&gt;$Q891,"Past peak",IF(YEAR(TODAY())=$Q891,"Drink now","Ready"))))))</f>
        <v/>
      </c>
    </row>
    <row r="892">
      <c r="A892" s="32">
        <f>IF($B892="","",IFERROR(IMAGE($B892,4,60,60),""))</f>
        <v/>
      </c>
      <c r="T892" s="68" t="n"/>
      <c r="V892" s="32">
        <f>IF($M892="","",IF($M892=0,"Out of stock",IF(OR($P892="",$Q892=""),"No window",IF(YEAR(TODAY())&lt;$P892,"Too young",IF(YEAR(TODAY())&gt;$Q892,"Past peak",IF(YEAR(TODAY())=$Q892,"Drink now","Ready"))))))</f>
        <v/>
      </c>
    </row>
    <row r="893">
      <c r="A893" s="32">
        <f>IF($B893="","",IFERROR(IMAGE($B893,4,60,60),""))</f>
        <v/>
      </c>
      <c r="T893" s="68" t="n"/>
      <c r="V893" s="32">
        <f>IF($M893="","",IF($M893=0,"Out of stock",IF(OR($P893="",$Q893=""),"No window",IF(YEAR(TODAY())&lt;$P893,"Too young",IF(YEAR(TODAY())&gt;$Q893,"Past peak",IF(YEAR(TODAY())=$Q893,"Drink now","Ready"))))))</f>
        <v/>
      </c>
    </row>
    <row r="894">
      <c r="A894" s="32">
        <f>IF($B894="","",IFERROR(IMAGE($B894,4,60,60),""))</f>
        <v/>
      </c>
      <c r="T894" s="68" t="n"/>
      <c r="V894" s="32">
        <f>IF($M894="","",IF($M894=0,"Out of stock",IF(OR($P894="",$Q894=""),"No window",IF(YEAR(TODAY())&lt;$P894,"Too young",IF(YEAR(TODAY())&gt;$Q894,"Past peak",IF(YEAR(TODAY())=$Q894,"Drink now","Ready"))))))</f>
        <v/>
      </c>
    </row>
    <row r="895">
      <c r="A895" s="32">
        <f>IF($B895="","",IFERROR(IMAGE($B895,4,60,60),""))</f>
        <v/>
      </c>
      <c r="T895" s="68" t="n"/>
      <c r="V895" s="32">
        <f>IF($M895="","",IF($M895=0,"Out of stock",IF(OR($P895="",$Q895=""),"No window",IF(YEAR(TODAY())&lt;$P895,"Too young",IF(YEAR(TODAY())&gt;$Q895,"Past peak",IF(YEAR(TODAY())=$Q895,"Drink now","Ready"))))))</f>
        <v/>
      </c>
    </row>
    <row r="896">
      <c r="A896" s="32">
        <f>IF($B896="","",IFERROR(IMAGE($B896,4,60,60),""))</f>
        <v/>
      </c>
      <c r="T896" s="68" t="n"/>
      <c r="V896" s="32">
        <f>IF($M896="","",IF($M896=0,"Out of stock",IF(OR($P896="",$Q896=""),"No window",IF(YEAR(TODAY())&lt;$P896,"Too young",IF(YEAR(TODAY())&gt;$Q896,"Past peak",IF(YEAR(TODAY())=$Q896,"Drink now","Ready"))))))</f>
        <v/>
      </c>
    </row>
    <row r="897">
      <c r="A897" s="32">
        <f>IF($B897="","",IFERROR(IMAGE($B897,4,60,60),""))</f>
        <v/>
      </c>
      <c r="T897" s="68" t="n"/>
      <c r="V897" s="32">
        <f>IF($M897="","",IF($M897=0,"Out of stock",IF(OR($P897="",$Q897=""),"No window",IF(YEAR(TODAY())&lt;$P897,"Too young",IF(YEAR(TODAY())&gt;$Q897,"Past peak",IF(YEAR(TODAY())=$Q897,"Drink now","Ready"))))))</f>
        <v/>
      </c>
    </row>
    <row r="898">
      <c r="A898" s="32">
        <f>IF($B898="","",IFERROR(IMAGE($B898,4,60,60),""))</f>
        <v/>
      </c>
      <c r="T898" s="68" t="n"/>
      <c r="V898" s="32">
        <f>IF($M898="","",IF($M898=0,"Out of stock",IF(OR($P898="",$Q898=""),"No window",IF(YEAR(TODAY())&lt;$P898,"Too young",IF(YEAR(TODAY())&gt;$Q898,"Past peak",IF(YEAR(TODAY())=$Q898,"Drink now","Ready"))))))</f>
        <v/>
      </c>
    </row>
    <row r="899">
      <c r="A899" s="32">
        <f>IF($B899="","",IFERROR(IMAGE($B899,4,60,60),""))</f>
        <v/>
      </c>
      <c r="T899" s="68" t="n"/>
      <c r="V899" s="32">
        <f>IF($M899="","",IF($M899=0,"Out of stock",IF(OR($P899="",$Q899=""),"No window",IF(YEAR(TODAY())&lt;$P899,"Too young",IF(YEAR(TODAY())&gt;$Q899,"Past peak",IF(YEAR(TODAY())=$Q899,"Drink now","Ready"))))))</f>
        <v/>
      </c>
    </row>
    <row r="900">
      <c r="A900" s="32">
        <f>IF($B900="","",IFERROR(IMAGE($B900,4,60,60),""))</f>
        <v/>
      </c>
      <c r="T900" s="68" t="n"/>
      <c r="V900" s="32">
        <f>IF($M900="","",IF($M900=0,"Out of stock",IF(OR($P900="",$Q900=""),"No window",IF(YEAR(TODAY())&lt;$P900,"Too young",IF(YEAR(TODAY())&gt;$Q900,"Past peak",IF(YEAR(TODAY())=$Q900,"Drink now","Ready"))))))</f>
        <v/>
      </c>
    </row>
    <row r="901">
      <c r="A901" s="32">
        <f>IF($B901="","",IFERROR(IMAGE($B901,4,60,60),""))</f>
        <v/>
      </c>
      <c r="T901" s="68" t="n"/>
      <c r="V901" s="32">
        <f>IF($M901="","",IF($M901=0,"Out of stock",IF(OR($P901="",$Q901=""),"No window",IF(YEAR(TODAY())&lt;$P901,"Too young",IF(YEAR(TODAY())&gt;$Q901,"Past peak",IF(YEAR(TODAY())=$Q901,"Drink now","Ready"))))))</f>
        <v/>
      </c>
    </row>
    <row r="902">
      <c r="A902" s="32">
        <f>IF($B902="","",IFERROR(IMAGE($B902,4,60,60),""))</f>
        <v/>
      </c>
      <c r="T902" s="68" t="n"/>
      <c r="V902" s="32">
        <f>IF($M902="","",IF($M902=0,"Out of stock",IF(OR($P902="",$Q902=""),"No window",IF(YEAR(TODAY())&lt;$P902,"Too young",IF(YEAR(TODAY())&gt;$Q902,"Past peak",IF(YEAR(TODAY())=$Q902,"Drink now","Ready"))))))</f>
        <v/>
      </c>
    </row>
    <row r="903">
      <c r="A903" s="32">
        <f>IF($B903="","",IFERROR(IMAGE($B903,4,60,60),""))</f>
        <v/>
      </c>
      <c r="T903" s="68" t="n"/>
      <c r="V903" s="32">
        <f>IF($M903="","",IF($M903=0,"Out of stock",IF(OR($P903="",$Q903=""),"No window",IF(YEAR(TODAY())&lt;$P903,"Too young",IF(YEAR(TODAY())&gt;$Q903,"Past peak",IF(YEAR(TODAY())=$Q903,"Drink now","Ready"))))))</f>
        <v/>
      </c>
    </row>
    <row r="904">
      <c r="A904" s="32">
        <f>IF($B904="","",IFERROR(IMAGE($B904,4,60,60),""))</f>
        <v/>
      </c>
      <c r="T904" s="68" t="n"/>
      <c r="V904" s="32">
        <f>IF($M904="","",IF($M904=0,"Out of stock",IF(OR($P904="",$Q904=""),"No window",IF(YEAR(TODAY())&lt;$P904,"Too young",IF(YEAR(TODAY())&gt;$Q904,"Past peak",IF(YEAR(TODAY())=$Q904,"Drink now","Ready"))))))</f>
        <v/>
      </c>
    </row>
    <row r="905">
      <c r="A905" s="32">
        <f>IF($B905="","",IFERROR(IMAGE($B905,4,60,60),""))</f>
        <v/>
      </c>
      <c r="T905" s="68" t="n"/>
      <c r="V905" s="32">
        <f>IF($M905="","",IF($M905=0,"Out of stock",IF(OR($P905="",$Q905=""),"No window",IF(YEAR(TODAY())&lt;$P905,"Too young",IF(YEAR(TODAY())&gt;$Q905,"Past peak",IF(YEAR(TODAY())=$Q905,"Drink now","Ready"))))))</f>
        <v/>
      </c>
    </row>
    <row r="906">
      <c r="A906" s="32">
        <f>IF($B906="","",IFERROR(IMAGE($B906,4,60,60),""))</f>
        <v/>
      </c>
      <c r="T906" s="68" t="n"/>
      <c r="V906" s="32">
        <f>IF($M906="","",IF($M906=0,"Out of stock",IF(OR($P906="",$Q906=""),"No window",IF(YEAR(TODAY())&lt;$P906,"Too young",IF(YEAR(TODAY())&gt;$Q906,"Past peak",IF(YEAR(TODAY())=$Q906,"Drink now","Ready"))))))</f>
        <v/>
      </c>
    </row>
    <row r="907">
      <c r="A907" s="32">
        <f>IF($B907="","",IFERROR(IMAGE($B907,4,60,60),""))</f>
        <v/>
      </c>
      <c r="T907" s="68" t="n"/>
      <c r="V907" s="32">
        <f>IF($M907="","",IF($M907=0,"Out of stock",IF(OR($P907="",$Q907=""),"No window",IF(YEAR(TODAY())&lt;$P907,"Too young",IF(YEAR(TODAY())&gt;$Q907,"Past peak",IF(YEAR(TODAY())=$Q907,"Drink now","Ready"))))))</f>
        <v/>
      </c>
    </row>
    <row r="908">
      <c r="A908" s="32">
        <f>IF($B908="","",IFERROR(IMAGE($B908,4,60,60),""))</f>
        <v/>
      </c>
      <c r="T908" s="68" t="n"/>
      <c r="V908" s="32">
        <f>IF($M908="","",IF($M908=0,"Out of stock",IF(OR($P908="",$Q908=""),"No window",IF(YEAR(TODAY())&lt;$P908,"Too young",IF(YEAR(TODAY())&gt;$Q908,"Past peak",IF(YEAR(TODAY())=$Q908,"Drink now","Ready"))))))</f>
        <v/>
      </c>
    </row>
    <row r="909">
      <c r="A909" s="32">
        <f>IF($B909="","",IFERROR(IMAGE($B909,4,60,60),""))</f>
        <v/>
      </c>
      <c r="T909" s="68" t="n"/>
      <c r="V909" s="32">
        <f>IF($M909="","",IF($M909=0,"Out of stock",IF(OR($P909="",$Q909=""),"No window",IF(YEAR(TODAY())&lt;$P909,"Too young",IF(YEAR(TODAY())&gt;$Q909,"Past peak",IF(YEAR(TODAY())=$Q909,"Drink now","Ready"))))))</f>
        <v/>
      </c>
    </row>
    <row r="910">
      <c r="A910" s="32">
        <f>IF($B910="","",IFERROR(IMAGE($B910,4,60,60),""))</f>
        <v/>
      </c>
      <c r="T910" s="68" t="n"/>
      <c r="V910" s="32">
        <f>IF($M910="","",IF($M910=0,"Out of stock",IF(OR($P910="",$Q910=""),"No window",IF(YEAR(TODAY())&lt;$P910,"Too young",IF(YEAR(TODAY())&gt;$Q910,"Past peak",IF(YEAR(TODAY())=$Q910,"Drink now","Ready"))))))</f>
        <v/>
      </c>
    </row>
    <row r="911">
      <c r="A911" s="32">
        <f>IF($B911="","",IFERROR(IMAGE($B911,4,60,60),""))</f>
        <v/>
      </c>
      <c r="T911" s="68" t="n"/>
      <c r="V911" s="32">
        <f>IF($M911="","",IF($M911=0,"Out of stock",IF(OR($P911="",$Q911=""),"No window",IF(YEAR(TODAY())&lt;$P911,"Too young",IF(YEAR(TODAY())&gt;$Q911,"Past peak",IF(YEAR(TODAY())=$Q911,"Drink now","Ready"))))))</f>
        <v/>
      </c>
    </row>
    <row r="912">
      <c r="A912" s="32">
        <f>IF($B912="","",IFERROR(IMAGE($B912,4,60,60),""))</f>
        <v/>
      </c>
      <c r="T912" s="68" t="n"/>
      <c r="V912" s="32">
        <f>IF($M912="","",IF($M912=0,"Out of stock",IF(OR($P912="",$Q912=""),"No window",IF(YEAR(TODAY())&lt;$P912,"Too young",IF(YEAR(TODAY())&gt;$Q912,"Past peak",IF(YEAR(TODAY())=$Q912,"Drink now","Ready"))))))</f>
        <v/>
      </c>
    </row>
    <row r="913">
      <c r="A913" s="32">
        <f>IF($B913="","",IFERROR(IMAGE($B913,4,60,60),""))</f>
        <v/>
      </c>
      <c r="T913" s="68" t="n"/>
      <c r="V913" s="32">
        <f>IF($M913="","",IF($M913=0,"Out of stock",IF(OR($P913="",$Q913=""),"No window",IF(YEAR(TODAY())&lt;$P913,"Too young",IF(YEAR(TODAY())&gt;$Q913,"Past peak",IF(YEAR(TODAY())=$Q913,"Drink now","Ready"))))))</f>
        <v/>
      </c>
    </row>
    <row r="914">
      <c r="A914" s="32">
        <f>IF($B914="","",IFERROR(IMAGE($B914,4,60,60),""))</f>
        <v/>
      </c>
      <c r="T914" s="68" t="n"/>
      <c r="V914" s="32">
        <f>IF($M914="","",IF($M914=0,"Out of stock",IF(OR($P914="",$Q914=""),"No window",IF(YEAR(TODAY())&lt;$P914,"Too young",IF(YEAR(TODAY())&gt;$Q914,"Past peak",IF(YEAR(TODAY())=$Q914,"Drink now","Ready"))))))</f>
        <v/>
      </c>
    </row>
    <row r="915">
      <c r="A915" s="32">
        <f>IF($B915="","",IFERROR(IMAGE($B915,4,60,60),""))</f>
        <v/>
      </c>
      <c r="T915" s="68" t="n"/>
      <c r="V915" s="32">
        <f>IF($M915="","",IF($M915=0,"Out of stock",IF(OR($P915="",$Q915=""),"No window",IF(YEAR(TODAY())&lt;$P915,"Too young",IF(YEAR(TODAY())&gt;$Q915,"Past peak",IF(YEAR(TODAY())=$Q915,"Drink now","Ready"))))))</f>
        <v/>
      </c>
    </row>
    <row r="916">
      <c r="A916" s="32">
        <f>IF($B916="","",IFERROR(IMAGE($B916,4,60,60),""))</f>
        <v/>
      </c>
      <c r="T916" s="68" t="n"/>
      <c r="V916" s="32">
        <f>IF($M916="","",IF($M916=0,"Out of stock",IF(OR($P916="",$Q916=""),"No window",IF(YEAR(TODAY())&lt;$P916,"Too young",IF(YEAR(TODAY())&gt;$Q916,"Past peak",IF(YEAR(TODAY())=$Q916,"Drink now","Ready"))))))</f>
        <v/>
      </c>
    </row>
    <row r="917">
      <c r="A917" s="32">
        <f>IF($B917="","",IFERROR(IMAGE($B917,4,60,60),""))</f>
        <v/>
      </c>
      <c r="T917" s="68" t="n"/>
      <c r="V917" s="32">
        <f>IF($M917="","",IF($M917=0,"Out of stock",IF(OR($P917="",$Q917=""),"No window",IF(YEAR(TODAY())&lt;$P917,"Too young",IF(YEAR(TODAY())&gt;$Q917,"Past peak",IF(YEAR(TODAY())=$Q917,"Drink now","Ready"))))))</f>
        <v/>
      </c>
    </row>
    <row r="918">
      <c r="A918" s="32">
        <f>IF($B918="","",IFERROR(IMAGE($B918,4,60,60),""))</f>
        <v/>
      </c>
      <c r="T918" s="68" t="n"/>
      <c r="V918" s="32">
        <f>IF($M918="","",IF($M918=0,"Out of stock",IF(OR($P918="",$Q918=""),"No window",IF(YEAR(TODAY())&lt;$P918,"Too young",IF(YEAR(TODAY())&gt;$Q918,"Past peak",IF(YEAR(TODAY())=$Q918,"Drink now","Ready"))))))</f>
        <v/>
      </c>
    </row>
    <row r="919">
      <c r="A919" s="32">
        <f>IF($B919="","",IFERROR(IMAGE($B919,4,60,60),""))</f>
        <v/>
      </c>
      <c r="T919" s="68" t="n"/>
      <c r="V919" s="32">
        <f>IF($M919="","",IF($M919=0,"Out of stock",IF(OR($P919="",$Q919=""),"No window",IF(YEAR(TODAY())&lt;$P919,"Too young",IF(YEAR(TODAY())&gt;$Q919,"Past peak",IF(YEAR(TODAY())=$Q919,"Drink now","Ready"))))))</f>
        <v/>
      </c>
    </row>
    <row r="920">
      <c r="A920" s="32">
        <f>IF($B920="","",IFERROR(IMAGE($B920,4,60,60),""))</f>
        <v/>
      </c>
      <c r="T920" s="68" t="n"/>
      <c r="V920" s="32">
        <f>IF($M920="","",IF($M920=0,"Out of stock",IF(OR($P920="",$Q920=""),"No window",IF(YEAR(TODAY())&lt;$P920,"Too young",IF(YEAR(TODAY())&gt;$Q920,"Past peak",IF(YEAR(TODAY())=$Q920,"Drink now","Ready"))))))</f>
        <v/>
      </c>
    </row>
    <row r="921">
      <c r="A921" s="32">
        <f>IF($B921="","",IFERROR(IMAGE($B921,4,60,60),""))</f>
        <v/>
      </c>
      <c r="T921" s="68" t="n"/>
      <c r="V921" s="32">
        <f>IF($M921="","",IF($M921=0,"Out of stock",IF(OR($P921="",$Q921=""),"No window",IF(YEAR(TODAY())&lt;$P921,"Too young",IF(YEAR(TODAY())&gt;$Q921,"Past peak",IF(YEAR(TODAY())=$Q921,"Drink now","Ready"))))))</f>
        <v/>
      </c>
    </row>
    <row r="922">
      <c r="A922" s="32">
        <f>IF($B922="","",IFERROR(IMAGE($B922,4,60,60),""))</f>
        <v/>
      </c>
      <c r="T922" s="68" t="n"/>
      <c r="V922" s="32">
        <f>IF($M922="","",IF($M922=0,"Out of stock",IF(OR($P922="",$Q922=""),"No window",IF(YEAR(TODAY())&lt;$P922,"Too young",IF(YEAR(TODAY())&gt;$Q922,"Past peak",IF(YEAR(TODAY())=$Q922,"Drink now","Ready"))))))</f>
        <v/>
      </c>
    </row>
    <row r="923">
      <c r="A923" s="32">
        <f>IF($B923="","",IFERROR(IMAGE($B923,4,60,60),""))</f>
        <v/>
      </c>
      <c r="T923" s="68" t="n"/>
      <c r="V923" s="32">
        <f>IF($M923="","",IF($M923=0,"Out of stock",IF(OR($P923="",$Q923=""),"No window",IF(YEAR(TODAY())&lt;$P923,"Too young",IF(YEAR(TODAY())&gt;$Q923,"Past peak",IF(YEAR(TODAY())=$Q923,"Drink now","Ready"))))))</f>
        <v/>
      </c>
    </row>
    <row r="924">
      <c r="A924" s="32">
        <f>IF($B924="","",IFERROR(IMAGE($B924,4,60,60),""))</f>
        <v/>
      </c>
      <c r="T924" s="68" t="n"/>
      <c r="V924" s="32">
        <f>IF($M924="","",IF($M924=0,"Out of stock",IF(OR($P924="",$Q924=""),"No window",IF(YEAR(TODAY())&lt;$P924,"Too young",IF(YEAR(TODAY())&gt;$Q924,"Past peak",IF(YEAR(TODAY())=$Q924,"Drink now","Ready"))))))</f>
        <v/>
      </c>
    </row>
    <row r="925">
      <c r="A925" s="32">
        <f>IF($B925="","",IFERROR(IMAGE($B925,4,60,60),""))</f>
        <v/>
      </c>
      <c r="T925" s="68" t="n"/>
      <c r="V925" s="32">
        <f>IF($M925="","",IF($M925=0,"Out of stock",IF(OR($P925="",$Q925=""),"No window",IF(YEAR(TODAY())&lt;$P925,"Too young",IF(YEAR(TODAY())&gt;$Q925,"Past peak",IF(YEAR(TODAY())=$Q925,"Drink now","Ready"))))))</f>
        <v/>
      </c>
    </row>
    <row r="926">
      <c r="A926" s="32">
        <f>IF($B926="","",IFERROR(IMAGE($B926,4,60,60),""))</f>
        <v/>
      </c>
      <c r="T926" s="68" t="n"/>
      <c r="V926" s="32">
        <f>IF($M926="","",IF($M926=0,"Out of stock",IF(OR($P926="",$Q926=""),"No window",IF(YEAR(TODAY())&lt;$P926,"Too young",IF(YEAR(TODAY())&gt;$Q926,"Past peak",IF(YEAR(TODAY())=$Q926,"Drink now","Ready"))))))</f>
        <v/>
      </c>
    </row>
    <row r="927">
      <c r="A927" s="32">
        <f>IF($B927="","",IFERROR(IMAGE($B927,4,60,60),""))</f>
        <v/>
      </c>
      <c r="T927" s="68" t="n"/>
      <c r="V927" s="32">
        <f>IF($M927="","",IF($M927=0,"Out of stock",IF(OR($P927="",$Q927=""),"No window",IF(YEAR(TODAY())&lt;$P927,"Too young",IF(YEAR(TODAY())&gt;$Q927,"Past peak",IF(YEAR(TODAY())=$Q927,"Drink now","Ready"))))))</f>
        <v/>
      </c>
    </row>
    <row r="928">
      <c r="A928" s="32">
        <f>IF($B928="","",IFERROR(IMAGE($B928,4,60,60),""))</f>
        <v/>
      </c>
      <c r="T928" s="68" t="n"/>
      <c r="V928" s="32">
        <f>IF($M928="","",IF($M928=0,"Out of stock",IF(OR($P928="",$Q928=""),"No window",IF(YEAR(TODAY())&lt;$P928,"Too young",IF(YEAR(TODAY())&gt;$Q928,"Past peak",IF(YEAR(TODAY())=$Q928,"Drink now","Ready"))))))</f>
        <v/>
      </c>
    </row>
    <row r="929">
      <c r="A929" s="32">
        <f>IF($B929="","",IFERROR(IMAGE($B929,4,60,60),""))</f>
        <v/>
      </c>
      <c r="T929" s="68" t="n"/>
      <c r="V929" s="32">
        <f>IF($M929="","",IF($M929=0,"Out of stock",IF(OR($P929="",$Q929=""),"No window",IF(YEAR(TODAY())&lt;$P929,"Too young",IF(YEAR(TODAY())&gt;$Q929,"Past peak",IF(YEAR(TODAY())=$Q929,"Drink now","Ready"))))))</f>
        <v/>
      </c>
    </row>
    <row r="930">
      <c r="A930" s="32">
        <f>IF($B930="","",IFERROR(IMAGE($B930,4,60,60),""))</f>
        <v/>
      </c>
      <c r="T930" s="68" t="n"/>
      <c r="V930" s="32">
        <f>IF($M930="","",IF($M930=0,"Out of stock",IF(OR($P930="",$Q930=""),"No window",IF(YEAR(TODAY())&lt;$P930,"Too young",IF(YEAR(TODAY())&gt;$Q930,"Past peak",IF(YEAR(TODAY())=$Q930,"Drink now","Ready"))))))</f>
        <v/>
      </c>
    </row>
    <row r="931">
      <c r="A931" s="32">
        <f>IF($B931="","",IFERROR(IMAGE($B931,4,60,60),""))</f>
        <v/>
      </c>
      <c r="T931" s="68" t="n"/>
      <c r="V931" s="32">
        <f>IF($M931="","",IF($M931=0,"Out of stock",IF(OR($P931="",$Q931=""),"No window",IF(YEAR(TODAY())&lt;$P931,"Too young",IF(YEAR(TODAY())&gt;$Q931,"Past peak",IF(YEAR(TODAY())=$Q931,"Drink now","Ready"))))))</f>
        <v/>
      </c>
    </row>
    <row r="932">
      <c r="A932" s="32">
        <f>IF($B932="","",IFERROR(IMAGE($B932,4,60,60),""))</f>
        <v/>
      </c>
      <c r="T932" s="68" t="n"/>
      <c r="V932" s="32">
        <f>IF($M932="","",IF($M932=0,"Out of stock",IF(OR($P932="",$Q932=""),"No window",IF(YEAR(TODAY())&lt;$P932,"Too young",IF(YEAR(TODAY())&gt;$Q932,"Past peak",IF(YEAR(TODAY())=$Q932,"Drink now","Ready"))))))</f>
        <v/>
      </c>
    </row>
    <row r="933">
      <c r="A933" s="32">
        <f>IF($B933="","",IFERROR(IMAGE($B933,4,60,60),""))</f>
        <v/>
      </c>
      <c r="T933" s="68" t="n"/>
      <c r="V933" s="32">
        <f>IF($M933="","",IF($M933=0,"Out of stock",IF(OR($P933="",$Q933=""),"No window",IF(YEAR(TODAY())&lt;$P933,"Too young",IF(YEAR(TODAY())&gt;$Q933,"Past peak",IF(YEAR(TODAY())=$Q933,"Drink now","Ready"))))))</f>
        <v/>
      </c>
    </row>
    <row r="934">
      <c r="A934" s="32">
        <f>IF($B934="","",IFERROR(IMAGE($B934,4,60,60),""))</f>
        <v/>
      </c>
      <c r="T934" s="68" t="n"/>
      <c r="V934" s="32">
        <f>IF($M934="","",IF($M934=0,"Out of stock",IF(OR($P934="",$Q934=""),"No window",IF(YEAR(TODAY())&lt;$P934,"Too young",IF(YEAR(TODAY())&gt;$Q934,"Past peak",IF(YEAR(TODAY())=$Q934,"Drink now","Ready"))))))</f>
        <v/>
      </c>
    </row>
    <row r="935">
      <c r="A935" s="32">
        <f>IF($B935="","",IFERROR(IMAGE($B935,4,60,60),""))</f>
        <v/>
      </c>
      <c r="T935" s="68" t="n"/>
      <c r="V935" s="32">
        <f>IF($M935="","",IF($M935=0,"Out of stock",IF(OR($P935="",$Q935=""),"No window",IF(YEAR(TODAY())&lt;$P935,"Too young",IF(YEAR(TODAY())&gt;$Q935,"Past peak",IF(YEAR(TODAY())=$Q935,"Drink now","Ready"))))))</f>
        <v/>
      </c>
    </row>
    <row r="936">
      <c r="A936" s="32">
        <f>IF($B936="","",IFERROR(IMAGE($B936,4,60,60),""))</f>
        <v/>
      </c>
      <c r="T936" s="68" t="n"/>
      <c r="V936" s="32">
        <f>IF($M936="","",IF($M936=0,"Out of stock",IF(OR($P936="",$Q936=""),"No window",IF(YEAR(TODAY())&lt;$P936,"Too young",IF(YEAR(TODAY())&gt;$Q936,"Past peak",IF(YEAR(TODAY())=$Q936,"Drink now","Ready"))))))</f>
        <v/>
      </c>
    </row>
    <row r="937">
      <c r="A937" s="32">
        <f>IF($B937="","",IFERROR(IMAGE($B937,4,60,60),""))</f>
        <v/>
      </c>
      <c r="T937" s="68" t="n"/>
      <c r="V937" s="32">
        <f>IF($M937="","",IF($M937=0,"Out of stock",IF(OR($P937="",$Q937=""),"No window",IF(YEAR(TODAY())&lt;$P937,"Too young",IF(YEAR(TODAY())&gt;$Q937,"Past peak",IF(YEAR(TODAY())=$Q937,"Drink now","Ready"))))))</f>
        <v/>
      </c>
    </row>
    <row r="938">
      <c r="A938" s="32">
        <f>IF($B938="","",IFERROR(IMAGE($B938,4,60,60),""))</f>
        <v/>
      </c>
      <c r="T938" s="68" t="n"/>
      <c r="V938" s="32">
        <f>IF($M938="","",IF($M938=0,"Out of stock",IF(OR($P938="",$Q938=""),"No window",IF(YEAR(TODAY())&lt;$P938,"Too young",IF(YEAR(TODAY())&gt;$Q938,"Past peak",IF(YEAR(TODAY())=$Q938,"Drink now","Ready"))))))</f>
        <v/>
      </c>
    </row>
    <row r="939">
      <c r="A939" s="32">
        <f>IF($B939="","",IFERROR(IMAGE($B939,4,60,60),""))</f>
        <v/>
      </c>
      <c r="T939" s="68" t="n"/>
      <c r="V939" s="32">
        <f>IF($M939="","",IF($M939=0,"Out of stock",IF(OR($P939="",$Q939=""),"No window",IF(YEAR(TODAY())&lt;$P939,"Too young",IF(YEAR(TODAY())&gt;$Q939,"Past peak",IF(YEAR(TODAY())=$Q939,"Drink now","Ready"))))))</f>
        <v/>
      </c>
    </row>
    <row r="940">
      <c r="A940" s="32">
        <f>IF($B940="","",IFERROR(IMAGE($B940,4,60,60),""))</f>
        <v/>
      </c>
      <c r="T940" s="68" t="n"/>
      <c r="V940" s="32">
        <f>IF($M940="","",IF($M940=0,"Out of stock",IF(OR($P940="",$Q940=""),"No window",IF(YEAR(TODAY())&lt;$P940,"Too young",IF(YEAR(TODAY())&gt;$Q940,"Past peak",IF(YEAR(TODAY())=$Q940,"Drink now","Ready"))))))</f>
        <v/>
      </c>
    </row>
    <row r="941">
      <c r="A941" s="32">
        <f>IF($B941="","",IFERROR(IMAGE($B941,4,60,60),""))</f>
        <v/>
      </c>
      <c r="T941" s="68" t="n"/>
      <c r="V941" s="32">
        <f>IF($M941="","",IF($M941=0,"Out of stock",IF(OR($P941="",$Q941=""),"No window",IF(YEAR(TODAY())&lt;$P941,"Too young",IF(YEAR(TODAY())&gt;$Q941,"Past peak",IF(YEAR(TODAY())=$Q941,"Drink now","Ready"))))))</f>
        <v/>
      </c>
    </row>
    <row r="942">
      <c r="A942" s="32">
        <f>IF($B942="","",IFERROR(IMAGE($B942,4,60,60),""))</f>
        <v/>
      </c>
      <c r="T942" s="68" t="n"/>
      <c r="V942" s="32">
        <f>IF($M942="","",IF($M942=0,"Out of stock",IF(OR($P942="",$Q942=""),"No window",IF(YEAR(TODAY())&lt;$P942,"Too young",IF(YEAR(TODAY())&gt;$Q942,"Past peak",IF(YEAR(TODAY())=$Q942,"Drink now","Ready"))))))</f>
        <v/>
      </c>
    </row>
    <row r="943">
      <c r="A943" s="32">
        <f>IF($B943="","",IFERROR(IMAGE($B943,4,60,60),""))</f>
        <v/>
      </c>
      <c r="T943" s="68" t="n"/>
      <c r="V943" s="32">
        <f>IF($M943="","",IF($M943=0,"Out of stock",IF(OR($P943="",$Q943=""),"No window",IF(YEAR(TODAY())&lt;$P943,"Too young",IF(YEAR(TODAY())&gt;$Q943,"Past peak",IF(YEAR(TODAY())=$Q943,"Drink now","Ready"))))))</f>
        <v/>
      </c>
    </row>
    <row r="944">
      <c r="A944" s="32">
        <f>IF($B944="","",IFERROR(IMAGE($B944,4,60,60),""))</f>
        <v/>
      </c>
      <c r="T944" s="68" t="n"/>
      <c r="V944" s="32">
        <f>IF($M944="","",IF($M944=0,"Out of stock",IF(OR($P944="",$Q944=""),"No window",IF(YEAR(TODAY())&lt;$P944,"Too young",IF(YEAR(TODAY())&gt;$Q944,"Past peak",IF(YEAR(TODAY())=$Q944,"Drink now","Ready"))))))</f>
        <v/>
      </c>
    </row>
    <row r="945">
      <c r="A945" s="32">
        <f>IF($B945="","",IFERROR(IMAGE($B945,4,60,60),""))</f>
        <v/>
      </c>
      <c r="T945" s="68" t="n"/>
      <c r="V945" s="32">
        <f>IF($M945="","",IF($M945=0,"Out of stock",IF(OR($P945="",$Q945=""),"No window",IF(YEAR(TODAY())&lt;$P945,"Too young",IF(YEAR(TODAY())&gt;$Q945,"Past peak",IF(YEAR(TODAY())=$Q945,"Drink now","Ready"))))))</f>
        <v/>
      </c>
    </row>
    <row r="946">
      <c r="A946" s="32">
        <f>IF($B946="","",IFERROR(IMAGE($B946,4,60,60),""))</f>
        <v/>
      </c>
      <c r="T946" s="68" t="n"/>
      <c r="V946" s="32">
        <f>IF($M946="","",IF($M946=0,"Out of stock",IF(OR($P946="",$Q946=""),"No window",IF(YEAR(TODAY())&lt;$P946,"Too young",IF(YEAR(TODAY())&gt;$Q946,"Past peak",IF(YEAR(TODAY())=$Q946,"Drink now","Ready"))))))</f>
        <v/>
      </c>
    </row>
    <row r="947">
      <c r="A947" s="32">
        <f>IF($B947="","",IFERROR(IMAGE($B947,4,60,60),""))</f>
        <v/>
      </c>
      <c r="T947" s="68" t="n"/>
      <c r="V947" s="32">
        <f>IF($M947="","",IF($M947=0,"Out of stock",IF(OR($P947="",$Q947=""),"No window",IF(YEAR(TODAY())&lt;$P947,"Too young",IF(YEAR(TODAY())&gt;$Q947,"Past peak",IF(YEAR(TODAY())=$Q947,"Drink now","Ready"))))))</f>
        <v/>
      </c>
    </row>
    <row r="948">
      <c r="A948" s="32">
        <f>IF($B948="","",IFERROR(IMAGE($B948,4,60,60),""))</f>
        <v/>
      </c>
      <c r="T948" s="68" t="n"/>
      <c r="V948" s="32">
        <f>IF($M948="","",IF($M948=0,"Out of stock",IF(OR($P948="",$Q948=""),"No window",IF(YEAR(TODAY())&lt;$P948,"Too young",IF(YEAR(TODAY())&gt;$Q948,"Past peak",IF(YEAR(TODAY())=$Q948,"Drink now","Ready"))))))</f>
        <v/>
      </c>
    </row>
    <row r="949">
      <c r="A949" s="32">
        <f>IF($B949="","",IFERROR(IMAGE($B949,4,60,60),""))</f>
        <v/>
      </c>
      <c r="T949" s="68" t="n"/>
      <c r="V949" s="32">
        <f>IF($M949="","",IF($M949=0,"Out of stock",IF(OR($P949="",$Q949=""),"No window",IF(YEAR(TODAY())&lt;$P949,"Too young",IF(YEAR(TODAY())&gt;$Q949,"Past peak",IF(YEAR(TODAY())=$Q949,"Drink now","Ready"))))))</f>
        <v/>
      </c>
    </row>
    <row r="950">
      <c r="A950" s="32">
        <f>IF($B950="","",IFERROR(IMAGE($B950,4,60,60),""))</f>
        <v/>
      </c>
      <c r="T950" s="68" t="n"/>
      <c r="V950" s="32">
        <f>IF($M950="","",IF($M950=0,"Out of stock",IF(OR($P950="",$Q950=""),"No window",IF(YEAR(TODAY())&lt;$P950,"Too young",IF(YEAR(TODAY())&gt;$Q950,"Past peak",IF(YEAR(TODAY())=$Q950,"Drink now","Ready"))))))</f>
        <v/>
      </c>
    </row>
    <row r="951">
      <c r="A951" s="32">
        <f>IF($B951="","",IFERROR(IMAGE($B951,4,60,60),""))</f>
        <v/>
      </c>
      <c r="T951" s="68" t="n"/>
      <c r="V951" s="32">
        <f>IF($M951="","",IF($M951=0,"Out of stock",IF(OR($P951="",$Q951=""),"No window",IF(YEAR(TODAY())&lt;$P951,"Too young",IF(YEAR(TODAY())&gt;$Q951,"Past peak",IF(YEAR(TODAY())=$Q951,"Drink now","Ready"))))))</f>
        <v/>
      </c>
    </row>
    <row r="952">
      <c r="A952" s="32">
        <f>IF($B952="","",IFERROR(IMAGE($B952,4,60,60),""))</f>
        <v/>
      </c>
      <c r="T952" s="68" t="n"/>
      <c r="V952" s="32">
        <f>IF($M952="","",IF($M952=0,"Out of stock",IF(OR($P952="",$Q952=""),"No window",IF(YEAR(TODAY())&lt;$P952,"Too young",IF(YEAR(TODAY())&gt;$Q952,"Past peak",IF(YEAR(TODAY())=$Q952,"Drink now","Ready"))))))</f>
        <v/>
      </c>
    </row>
    <row r="953">
      <c r="A953" s="32">
        <f>IF($B953="","",IFERROR(IMAGE($B953,4,60,60),""))</f>
        <v/>
      </c>
      <c r="T953" s="68" t="n"/>
      <c r="V953" s="32">
        <f>IF($M953="","",IF($M953=0,"Out of stock",IF(OR($P953="",$Q953=""),"No window",IF(YEAR(TODAY())&lt;$P953,"Too young",IF(YEAR(TODAY())&gt;$Q953,"Past peak",IF(YEAR(TODAY())=$Q953,"Drink now","Ready"))))))</f>
        <v/>
      </c>
    </row>
    <row r="954">
      <c r="A954" s="32">
        <f>IF($B954="","",IFERROR(IMAGE($B954,4,60,60),""))</f>
        <v/>
      </c>
      <c r="T954" s="68" t="n"/>
      <c r="V954" s="32">
        <f>IF($M954="","",IF($M954=0,"Out of stock",IF(OR($P954="",$Q954=""),"No window",IF(YEAR(TODAY())&lt;$P954,"Too young",IF(YEAR(TODAY())&gt;$Q954,"Past peak",IF(YEAR(TODAY())=$Q954,"Drink now","Ready"))))))</f>
        <v/>
      </c>
    </row>
    <row r="955">
      <c r="A955" s="32">
        <f>IF($B955="","",IFERROR(IMAGE($B955,4,60,60),""))</f>
        <v/>
      </c>
      <c r="T955" s="68" t="n"/>
      <c r="V955" s="32">
        <f>IF($M955="","",IF($M955=0,"Out of stock",IF(OR($P955="",$Q955=""),"No window",IF(YEAR(TODAY())&lt;$P955,"Too young",IF(YEAR(TODAY())&gt;$Q955,"Past peak",IF(YEAR(TODAY())=$Q955,"Drink now","Ready"))))))</f>
        <v/>
      </c>
    </row>
    <row r="956">
      <c r="A956" s="32">
        <f>IF($B956="","",IFERROR(IMAGE($B956,4,60,60),""))</f>
        <v/>
      </c>
      <c r="T956" s="68" t="n"/>
      <c r="V956" s="32">
        <f>IF($M956="","",IF($M956=0,"Out of stock",IF(OR($P956="",$Q956=""),"No window",IF(YEAR(TODAY())&lt;$P956,"Too young",IF(YEAR(TODAY())&gt;$Q956,"Past peak",IF(YEAR(TODAY())=$Q956,"Drink now","Ready"))))))</f>
        <v/>
      </c>
    </row>
    <row r="957">
      <c r="A957" s="32">
        <f>IF($B957="","",IFERROR(IMAGE($B957,4,60,60),""))</f>
        <v/>
      </c>
      <c r="T957" s="68" t="n"/>
      <c r="V957" s="32">
        <f>IF($M957="","",IF($M957=0,"Out of stock",IF(OR($P957="",$Q957=""),"No window",IF(YEAR(TODAY())&lt;$P957,"Too young",IF(YEAR(TODAY())&gt;$Q957,"Past peak",IF(YEAR(TODAY())=$Q957,"Drink now","Ready"))))))</f>
        <v/>
      </c>
    </row>
    <row r="958">
      <c r="A958" s="32">
        <f>IF($B958="","",IFERROR(IMAGE($B958,4,60,60),""))</f>
        <v/>
      </c>
      <c r="T958" s="68" t="n"/>
      <c r="V958" s="32">
        <f>IF($M958="","",IF($M958=0,"Out of stock",IF(OR($P958="",$Q958=""),"No window",IF(YEAR(TODAY())&lt;$P958,"Too young",IF(YEAR(TODAY())&gt;$Q958,"Past peak",IF(YEAR(TODAY())=$Q958,"Drink now","Ready"))))))</f>
        <v/>
      </c>
    </row>
    <row r="959">
      <c r="A959" s="32">
        <f>IF($B959="","",IFERROR(IMAGE($B959,4,60,60),""))</f>
        <v/>
      </c>
      <c r="T959" s="68" t="n"/>
      <c r="V959" s="32">
        <f>IF($M959="","",IF($M959=0,"Out of stock",IF(OR($P959="",$Q959=""),"No window",IF(YEAR(TODAY())&lt;$P959,"Too young",IF(YEAR(TODAY())&gt;$Q959,"Past peak",IF(YEAR(TODAY())=$Q959,"Drink now","Ready"))))))</f>
        <v/>
      </c>
    </row>
    <row r="960">
      <c r="A960" s="32">
        <f>IF($B960="","",IFERROR(IMAGE($B960,4,60,60),""))</f>
        <v/>
      </c>
      <c r="T960" s="68" t="n"/>
      <c r="V960" s="32">
        <f>IF($M960="","",IF($M960=0,"Out of stock",IF(OR($P960="",$Q960=""),"No window",IF(YEAR(TODAY())&lt;$P960,"Too young",IF(YEAR(TODAY())&gt;$Q960,"Past peak",IF(YEAR(TODAY())=$Q960,"Drink now","Ready"))))))</f>
        <v/>
      </c>
    </row>
    <row r="961">
      <c r="A961" s="32">
        <f>IF($B961="","",IFERROR(IMAGE($B961,4,60,60),""))</f>
        <v/>
      </c>
      <c r="T961" s="68" t="n"/>
      <c r="V961" s="32">
        <f>IF($M961="","",IF($M961=0,"Out of stock",IF(OR($P961="",$Q961=""),"No window",IF(YEAR(TODAY())&lt;$P961,"Too young",IF(YEAR(TODAY())&gt;$Q961,"Past peak",IF(YEAR(TODAY())=$Q961,"Drink now","Ready"))))))</f>
        <v/>
      </c>
    </row>
    <row r="962">
      <c r="A962" s="32">
        <f>IF($B962="","",IFERROR(IMAGE($B962,4,60,60),""))</f>
        <v/>
      </c>
      <c r="T962" s="68" t="n"/>
      <c r="V962" s="32">
        <f>IF($M962="","",IF($M962=0,"Out of stock",IF(OR($P962="",$Q962=""),"No window",IF(YEAR(TODAY())&lt;$P962,"Too young",IF(YEAR(TODAY())&gt;$Q962,"Past peak",IF(YEAR(TODAY())=$Q962,"Drink now","Ready"))))))</f>
        <v/>
      </c>
    </row>
    <row r="963">
      <c r="A963" s="32">
        <f>IF($B963="","",IFERROR(IMAGE($B963,4,60,60),""))</f>
        <v/>
      </c>
      <c r="T963" s="68" t="n"/>
      <c r="V963" s="32">
        <f>IF($M963="","",IF($M963=0,"Out of stock",IF(OR($P963="",$Q963=""),"No window",IF(YEAR(TODAY())&lt;$P963,"Too young",IF(YEAR(TODAY())&gt;$Q963,"Past peak",IF(YEAR(TODAY())=$Q963,"Drink now","Ready"))))))</f>
        <v/>
      </c>
    </row>
    <row r="964">
      <c r="A964" s="32">
        <f>IF($B964="","",IFERROR(IMAGE($B964,4,60,60),""))</f>
        <v/>
      </c>
      <c r="T964" s="68" t="n"/>
      <c r="V964" s="32">
        <f>IF($M964="","",IF($M964=0,"Out of stock",IF(OR($P964="",$Q964=""),"No window",IF(YEAR(TODAY())&lt;$P964,"Too young",IF(YEAR(TODAY())&gt;$Q964,"Past peak",IF(YEAR(TODAY())=$Q964,"Drink now","Ready"))))))</f>
        <v/>
      </c>
    </row>
    <row r="965">
      <c r="A965" s="32">
        <f>IF($B965="","",IFERROR(IMAGE($B965,4,60,60),""))</f>
        <v/>
      </c>
      <c r="T965" s="68" t="n"/>
      <c r="V965" s="32">
        <f>IF($M965="","",IF($M965=0,"Out of stock",IF(OR($P965="",$Q965=""),"No window",IF(YEAR(TODAY())&lt;$P965,"Too young",IF(YEAR(TODAY())&gt;$Q965,"Past peak",IF(YEAR(TODAY())=$Q965,"Drink now","Ready"))))))</f>
        <v/>
      </c>
    </row>
    <row r="966">
      <c r="A966" s="32">
        <f>IF($B966="","",IFERROR(IMAGE($B966,4,60,60),""))</f>
        <v/>
      </c>
      <c r="T966" s="68" t="n"/>
      <c r="V966" s="32">
        <f>IF($M966="","",IF($M966=0,"Out of stock",IF(OR($P966="",$Q966=""),"No window",IF(YEAR(TODAY())&lt;$P966,"Too young",IF(YEAR(TODAY())&gt;$Q966,"Past peak",IF(YEAR(TODAY())=$Q966,"Drink now","Ready"))))))</f>
        <v/>
      </c>
    </row>
    <row r="967">
      <c r="A967" s="32">
        <f>IF($B967="","",IFERROR(IMAGE($B967,4,60,60),""))</f>
        <v/>
      </c>
      <c r="T967" s="68" t="n"/>
      <c r="V967" s="32">
        <f>IF($M967="","",IF($M967=0,"Out of stock",IF(OR($P967="",$Q967=""),"No window",IF(YEAR(TODAY())&lt;$P967,"Too young",IF(YEAR(TODAY())&gt;$Q967,"Past peak",IF(YEAR(TODAY())=$Q967,"Drink now","Ready"))))))</f>
        <v/>
      </c>
    </row>
    <row r="968">
      <c r="A968" s="32">
        <f>IF($B968="","",IFERROR(IMAGE($B968,4,60,60),""))</f>
        <v/>
      </c>
      <c r="T968" s="68" t="n"/>
      <c r="V968" s="32">
        <f>IF($M968="","",IF($M968=0,"Out of stock",IF(OR($P968="",$Q968=""),"No window",IF(YEAR(TODAY())&lt;$P968,"Too young",IF(YEAR(TODAY())&gt;$Q968,"Past peak",IF(YEAR(TODAY())=$Q968,"Drink now","Ready"))))))</f>
        <v/>
      </c>
    </row>
    <row r="969">
      <c r="A969" s="32">
        <f>IF($B969="","",IFERROR(IMAGE($B969,4,60,60),""))</f>
        <v/>
      </c>
      <c r="T969" s="68" t="n"/>
      <c r="V969" s="32">
        <f>IF($M969="","",IF($M969=0,"Out of stock",IF(OR($P969="",$Q969=""),"No window",IF(YEAR(TODAY())&lt;$P969,"Too young",IF(YEAR(TODAY())&gt;$Q969,"Past peak",IF(YEAR(TODAY())=$Q969,"Drink now","Ready"))))))</f>
        <v/>
      </c>
    </row>
    <row r="970">
      <c r="A970" s="32">
        <f>IF($B970="","",IFERROR(IMAGE($B970,4,60,60),""))</f>
        <v/>
      </c>
      <c r="T970" s="68" t="n"/>
      <c r="V970" s="32">
        <f>IF($M970="","",IF($M970=0,"Out of stock",IF(OR($P970="",$Q970=""),"No window",IF(YEAR(TODAY())&lt;$P970,"Too young",IF(YEAR(TODAY())&gt;$Q970,"Past peak",IF(YEAR(TODAY())=$Q970,"Drink now","Ready"))))))</f>
        <v/>
      </c>
    </row>
    <row r="971">
      <c r="A971" s="32">
        <f>IF($B971="","",IFERROR(IMAGE($B971,4,60,60),""))</f>
        <v/>
      </c>
      <c r="T971" s="68" t="n"/>
      <c r="V971" s="32">
        <f>IF($M971="","",IF($M971=0,"Out of stock",IF(OR($P971="",$Q971=""),"No window",IF(YEAR(TODAY())&lt;$P971,"Too young",IF(YEAR(TODAY())&gt;$Q971,"Past peak",IF(YEAR(TODAY())=$Q971,"Drink now","Ready"))))))</f>
        <v/>
      </c>
    </row>
    <row r="972">
      <c r="A972" s="32">
        <f>IF($B972="","",IFERROR(IMAGE($B972,4,60,60),""))</f>
        <v/>
      </c>
      <c r="T972" s="68" t="n"/>
      <c r="V972" s="32">
        <f>IF($M972="","",IF($M972=0,"Out of stock",IF(OR($P972="",$Q972=""),"No window",IF(YEAR(TODAY())&lt;$P972,"Too young",IF(YEAR(TODAY())&gt;$Q972,"Past peak",IF(YEAR(TODAY())=$Q972,"Drink now","Ready"))))))</f>
        <v/>
      </c>
    </row>
    <row r="973">
      <c r="A973" s="32">
        <f>IF($B973="","",IFERROR(IMAGE($B973,4,60,60),""))</f>
        <v/>
      </c>
      <c r="T973" s="68" t="n"/>
      <c r="V973" s="32">
        <f>IF($M973="","",IF($M973=0,"Out of stock",IF(OR($P973="",$Q973=""),"No window",IF(YEAR(TODAY())&lt;$P973,"Too young",IF(YEAR(TODAY())&gt;$Q973,"Past peak",IF(YEAR(TODAY())=$Q973,"Drink now","Ready"))))))</f>
        <v/>
      </c>
    </row>
    <row r="974">
      <c r="A974" s="32">
        <f>IF($B974="","",IFERROR(IMAGE($B974,4,60,60),""))</f>
        <v/>
      </c>
      <c r="T974" s="68" t="n"/>
      <c r="V974" s="32">
        <f>IF($M974="","",IF($M974=0,"Out of stock",IF(OR($P974="",$Q974=""),"No window",IF(YEAR(TODAY())&lt;$P974,"Too young",IF(YEAR(TODAY())&gt;$Q974,"Past peak",IF(YEAR(TODAY())=$Q974,"Drink now","Ready"))))))</f>
        <v/>
      </c>
    </row>
    <row r="975">
      <c r="A975" s="32">
        <f>IF($B975="","",IFERROR(IMAGE($B975,4,60,60),""))</f>
        <v/>
      </c>
      <c r="T975" s="68" t="n"/>
      <c r="V975" s="32">
        <f>IF($M975="","",IF($M975=0,"Out of stock",IF(OR($P975="",$Q975=""),"No window",IF(YEAR(TODAY())&lt;$P975,"Too young",IF(YEAR(TODAY())&gt;$Q975,"Past peak",IF(YEAR(TODAY())=$Q975,"Drink now","Ready"))))))</f>
        <v/>
      </c>
    </row>
    <row r="976">
      <c r="A976" s="32">
        <f>IF($B976="","",IFERROR(IMAGE($B976,4,60,60),""))</f>
        <v/>
      </c>
      <c r="T976" s="68" t="n"/>
      <c r="V976" s="32">
        <f>IF($M976="","",IF($M976=0,"Out of stock",IF(OR($P976="",$Q976=""),"No window",IF(YEAR(TODAY())&lt;$P976,"Too young",IF(YEAR(TODAY())&gt;$Q976,"Past peak",IF(YEAR(TODAY())=$Q976,"Drink now","Ready"))))))</f>
        <v/>
      </c>
    </row>
    <row r="977">
      <c r="A977" s="32">
        <f>IF($B977="","",IFERROR(IMAGE($B977,4,60,60),""))</f>
        <v/>
      </c>
      <c r="T977" s="68" t="n"/>
      <c r="V977" s="32">
        <f>IF($M977="","",IF($M977=0,"Out of stock",IF(OR($P977="",$Q977=""),"No window",IF(YEAR(TODAY())&lt;$P977,"Too young",IF(YEAR(TODAY())&gt;$Q977,"Past peak",IF(YEAR(TODAY())=$Q977,"Drink now","Ready"))))))</f>
        <v/>
      </c>
    </row>
    <row r="978">
      <c r="A978" s="32">
        <f>IF($B978="","",IFERROR(IMAGE($B978,4,60,60),""))</f>
        <v/>
      </c>
      <c r="T978" s="68" t="n"/>
      <c r="V978" s="32">
        <f>IF($M978="","",IF($M978=0,"Out of stock",IF(OR($P978="",$Q978=""),"No window",IF(YEAR(TODAY())&lt;$P978,"Too young",IF(YEAR(TODAY())&gt;$Q978,"Past peak",IF(YEAR(TODAY())=$Q978,"Drink now","Ready"))))))</f>
        <v/>
      </c>
    </row>
    <row r="979">
      <c r="A979" s="32">
        <f>IF($B979="","",IFERROR(IMAGE($B979,4,60,60),""))</f>
        <v/>
      </c>
      <c r="T979" s="68" t="n"/>
      <c r="V979" s="32">
        <f>IF($M979="","",IF($M979=0,"Out of stock",IF(OR($P979="",$Q979=""),"No window",IF(YEAR(TODAY())&lt;$P979,"Too young",IF(YEAR(TODAY())&gt;$Q979,"Past peak",IF(YEAR(TODAY())=$Q979,"Drink now","Ready"))))))</f>
        <v/>
      </c>
    </row>
    <row r="980">
      <c r="A980" s="32">
        <f>IF($B980="","",IFERROR(IMAGE($B980,4,60,60),""))</f>
        <v/>
      </c>
      <c r="T980" s="68" t="n"/>
      <c r="V980" s="32">
        <f>IF($M980="","",IF($M980=0,"Out of stock",IF(OR($P980="",$Q980=""),"No window",IF(YEAR(TODAY())&lt;$P980,"Too young",IF(YEAR(TODAY())&gt;$Q980,"Past peak",IF(YEAR(TODAY())=$Q980,"Drink now","Ready"))))))</f>
        <v/>
      </c>
    </row>
    <row r="981">
      <c r="A981" s="32">
        <f>IF($B981="","",IFERROR(IMAGE($B981,4,60,60),""))</f>
        <v/>
      </c>
      <c r="T981" s="68" t="n"/>
      <c r="V981" s="32">
        <f>IF($M981="","",IF($M981=0,"Out of stock",IF(OR($P981="",$Q981=""),"No window",IF(YEAR(TODAY())&lt;$P981,"Too young",IF(YEAR(TODAY())&gt;$Q981,"Past peak",IF(YEAR(TODAY())=$Q981,"Drink now","Ready"))))))</f>
        <v/>
      </c>
    </row>
    <row r="982">
      <c r="A982" s="32">
        <f>IF($B982="","",IFERROR(IMAGE($B982,4,60,60),""))</f>
        <v/>
      </c>
      <c r="T982" s="68" t="n"/>
      <c r="V982" s="32">
        <f>IF($M982="","",IF($M982=0,"Out of stock",IF(OR($P982="",$Q982=""),"No window",IF(YEAR(TODAY())&lt;$P982,"Too young",IF(YEAR(TODAY())&gt;$Q982,"Past peak",IF(YEAR(TODAY())=$Q982,"Drink now","Ready"))))))</f>
        <v/>
      </c>
    </row>
    <row r="983">
      <c r="A983" s="32">
        <f>IF($B983="","",IFERROR(IMAGE($B983,4,60,60),""))</f>
        <v/>
      </c>
      <c r="T983" s="68" t="n"/>
      <c r="V983" s="32">
        <f>IF($M983="","",IF($M983=0,"Out of stock",IF(OR($P983="",$Q983=""),"No window",IF(YEAR(TODAY())&lt;$P983,"Too young",IF(YEAR(TODAY())&gt;$Q983,"Past peak",IF(YEAR(TODAY())=$Q983,"Drink now","Ready"))))))</f>
        <v/>
      </c>
    </row>
    <row r="984">
      <c r="A984" s="32">
        <f>IF($B984="","",IFERROR(IMAGE($B984,4,60,60),""))</f>
        <v/>
      </c>
      <c r="T984" s="68" t="n"/>
      <c r="V984" s="32">
        <f>IF($M984="","",IF($M984=0,"Out of stock",IF(OR($P984="",$Q984=""),"No window",IF(YEAR(TODAY())&lt;$P984,"Too young",IF(YEAR(TODAY())&gt;$Q984,"Past peak",IF(YEAR(TODAY())=$Q984,"Drink now","Ready"))))))</f>
        <v/>
      </c>
    </row>
    <row r="985">
      <c r="A985" s="32">
        <f>IF($B985="","",IFERROR(IMAGE($B985,4,60,60),""))</f>
        <v/>
      </c>
      <c r="T985" s="68" t="n"/>
      <c r="V985" s="32">
        <f>IF($M985="","",IF($M985=0,"Out of stock",IF(OR($P985="",$Q985=""),"No window",IF(YEAR(TODAY())&lt;$P985,"Too young",IF(YEAR(TODAY())&gt;$Q985,"Past peak",IF(YEAR(TODAY())=$Q985,"Drink now","Ready"))))))</f>
        <v/>
      </c>
    </row>
    <row r="986">
      <c r="A986" s="32">
        <f>IF($B986="","",IFERROR(IMAGE($B986,4,60,60),""))</f>
        <v/>
      </c>
      <c r="T986" s="68" t="n"/>
      <c r="V986" s="32">
        <f>IF($M986="","",IF($M986=0,"Out of stock",IF(OR($P986="",$Q986=""),"No window",IF(YEAR(TODAY())&lt;$P986,"Too young",IF(YEAR(TODAY())&gt;$Q986,"Past peak",IF(YEAR(TODAY())=$Q986,"Drink now","Ready"))))))</f>
        <v/>
      </c>
    </row>
    <row r="987">
      <c r="A987" s="32">
        <f>IF($B987="","",IFERROR(IMAGE($B987,4,60,60),""))</f>
        <v/>
      </c>
      <c r="T987" s="68" t="n"/>
      <c r="V987" s="32">
        <f>IF($M987="","",IF($M987=0,"Out of stock",IF(OR($P987="",$Q987=""),"No window",IF(YEAR(TODAY())&lt;$P987,"Too young",IF(YEAR(TODAY())&gt;$Q987,"Past peak",IF(YEAR(TODAY())=$Q987,"Drink now","Ready"))))))</f>
        <v/>
      </c>
    </row>
    <row r="988">
      <c r="A988" s="32">
        <f>IF($B988="","",IFERROR(IMAGE($B988,4,60,60),""))</f>
        <v/>
      </c>
      <c r="T988" s="68" t="n"/>
      <c r="V988" s="32">
        <f>IF($M988="","",IF($M988=0,"Out of stock",IF(OR($P988="",$Q988=""),"No window",IF(YEAR(TODAY())&lt;$P988,"Too young",IF(YEAR(TODAY())&gt;$Q988,"Past peak",IF(YEAR(TODAY())=$Q988,"Drink now","Ready"))))))</f>
        <v/>
      </c>
    </row>
    <row r="989">
      <c r="A989" s="32">
        <f>IF($B989="","",IFERROR(IMAGE($B989,4,60,60),""))</f>
        <v/>
      </c>
      <c r="T989" s="68" t="n"/>
      <c r="V989" s="32">
        <f>IF($M989="","",IF($M989=0,"Out of stock",IF(OR($P989="",$Q989=""),"No window",IF(YEAR(TODAY())&lt;$P989,"Too young",IF(YEAR(TODAY())&gt;$Q989,"Past peak",IF(YEAR(TODAY())=$Q989,"Drink now","Ready"))))))</f>
        <v/>
      </c>
    </row>
    <row r="990">
      <c r="A990" s="32">
        <f>IF($B990="","",IFERROR(IMAGE($B990,4,60,60),""))</f>
        <v/>
      </c>
      <c r="T990" s="68" t="n"/>
      <c r="V990" s="32">
        <f>IF($M990="","",IF($M990=0,"Out of stock",IF(OR($P990="",$Q990=""),"No window",IF(YEAR(TODAY())&lt;$P990,"Too young",IF(YEAR(TODAY())&gt;$Q990,"Past peak",IF(YEAR(TODAY())=$Q990,"Drink now","Ready"))))))</f>
        <v/>
      </c>
    </row>
    <row r="991">
      <c r="A991" s="32">
        <f>IF($B991="","",IFERROR(IMAGE($B991,4,60,60),""))</f>
        <v/>
      </c>
      <c r="T991" s="68" t="n"/>
      <c r="V991" s="32">
        <f>IF($M991="","",IF($M991=0,"Out of stock",IF(OR($P991="",$Q991=""),"No window",IF(YEAR(TODAY())&lt;$P991,"Too young",IF(YEAR(TODAY())&gt;$Q991,"Past peak",IF(YEAR(TODAY())=$Q991,"Drink now","Ready"))))))</f>
        <v/>
      </c>
    </row>
    <row r="992">
      <c r="A992" s="32">
        <f>IF($B992="","",IFERROR(IMAGE($B992,4,60,60),""))</f>
        <v/>
      </c>
      <c r="T992" s="68" t="n"/>
      <c r="V992" s="32">
        <f>IF($M992="","",IF($M992=0,"Out of stock",IF(OR($P992="",$Q992=""),"No window",IF(YEAR(TODAY())&lt;$P992,"Too young",IF(YEAR(TODAY())&gt;$Q992,"Past peak",IF(YEAR(TODAY())=$Q992,"Drink now","Ready"))))))</f>
        <v/>
      </c>
    </row>
    <row r="993">
      <c r="A993" s="32">
        <f>IF($B993="","",IFERROR(IMAGE($B993,4,60,60),""))</f>
        <v/>
      </c>
      <c r="T993" s="68" t="n"/>
      <c r="V993" s="32">
        <f>IF($M993="","",IF($M993=0,"Out of stock",IF(OR($P993="",$Q993=""),"No window",IF(YEAR(TODAY())&lt;$P993,"Too young",IF(YEAR(TODAY())&gt;$Q993,"Past peak",IF(YEAR(TODAY())=$Q993,"Drink now","Ready"))))))</f>
        <v/>
      </c>
    </row>
    <row r="994">
      <c r="A994" s="32">
        <f>IF($B994="","",IFERROR(IMAGE($B994,4,60,60),""))</f>
        <v/>
      </c>
      <c r="T994" s="68" t="n"/>
      <c r="V994" s="32">
        <f>IF($M994="","",IF($M994=0,"Out of stock",IF(OR($P994="",$Q994=""),"No window",IF(YEAR(TODAY())&lt;$P994,"Too young",IF(YEAR(TODAY())&gt;$Q994,"Past peak",IF(YEAR(TODAY())=$Q994,"Drink now","Ready"))))))</f>
        <v/>
      </c>
    </row>
    <row r="995">
      <c r="A995" s="32">
        <f>IF($B995="","",IFERROR(IMAGE($B995,4,60,60),""))</f>
        <v/>
      </c>
      <c r="T995" s="68" t="n"/>
      <c r="V995" s="32">
        <f>IF($M995="","",IF($M995=0,"Out of stock",IF(OR($P995="",$Q995=""),"No window",IF(YEAR(TODAY())&lt;$P995,"Too young",IF(YEAR(TODAY())&gt;$Q995,"Past peak",IF(YEAR(TODAY())=$Q995,"Drink now","Ready"))))))</f>
        <v/>
      </c>
    </row>
    <row r="996">
      <c r="A996" s="32">
        <f>IF($B996="","",IFERROR(IMAGE($B996,4,60,60),""))</f>
        <v/>
      </c>
      <c r="T996" s="68" t="n"/>
      <c r="V996" s="32">
        <f>IF($M996="","",IF($M996=0,"Out of stock",IF(OR($P996="",$Q996=""),"No window",IF(YEAR(TODAY())&lt;$P996,"Too young",IF(YEAR(TODAY())&gt;$Q996,"Past peak",IF(YEAR(TODAY())=$Q996,"Drink now","Ready"))))))</f>
        <v/>
      </c>
    </row>
    <row r="997">
      <c r="A997" s="32">
        <f>IF($B997="","",IFERROR(IMAGE($B997,4,60,60),""))</f>
        <v/>
      </c>
      <c r="T997" s="68" t="n"/>
      <c r="V997" s="32">
        <f>IF($M997="","",IF($M997=0,"Out of stock",IF(OR($P997="",$Q997=""),"No window",IF(YEAR(TODAY())&lt;$P997,"Too young",IF(YEAR(TODAY())&gt;$Q997,"Past peak",IF(YEAR(TODAY())=$Q997,"Drink now","Ready"))))))</f>
        <v/>
      </c>
    </row>
    <row r="998">
      <c r="A998" s="32">
        <f>IF($B998="","",IFERROR(IMAGE($B998,4,60,60),""))</f>
        <v/>
      </c>
      <c r="T998" s="68" t="n"/>
      <c r="V998" s="32">
        <f>IF($M998="","",IF($M998=0,"Out of stock",IF(OR($P998="",$Q998=""),"No window",IF(YEAR(TODAY())&lt;$P998,"Too young",IF(YEAR(TODAY())&gt;$Q998,"Past peak",IF(YEAR(TODAY())=$Q998,"Drink now","Ready"))))))</f>
        <v/>
      </c>
    </row>
    <row r="999">
      <c r="A999" s="32">
        <f>IF($B999="","",IFERROR(IMAGE($B999,4,60,60),""))</f>
        <v/>
      </c>
      <c r="T999" s="68" t="n"/>
      <c r="V999" s="32">
        <f>IF($M999="","",IF($M999=0,"Out of stock",IF(OR($P999="",$Q999=""),"No window",IF(YEAR(TODAY())&lt;$P999,"Too young",IF(YEAR(TODAY())&gt;$Q999,"Past peak",IF(YEAR(TODAY())=$Q999,"Drink now","Ready"))))))</f>
        <v/>
      </c>
    </row>
    <row r="1000">
      <c r="A1000" s="32">
        <f>IF($B1000="","",IFERROR(IMAGE($B1000,4,60,60),""))</f>
        <v/>
      </c>
      <c r="T1000" s="68" t="n"/>
      <c r="V1000" s="32">
        <f>IF($M1000="","",IF($M1000=0,"Out of stock",IF(OR($P1000="",$Q1000=""),"No window",IF(YEAR(TODAY())&lt;$P1000,"Too young",IF(YEAR(TODAY())&gt;$Q1000,"Past peak",IF(YEAR(TODAY())=$Q1000,"Drink now","Ready"))))))</f>
        <v/>
      </c>
    </row>
    <row r="1001">
      <c r="A1001" s="32">
        <f>IF($B1001="","",IFERROR(IMAGE($B1001,4,60,60),""))</f>
        <v/>
      </c>
      <c r="T1001" s="68" t="n"/>
      <c r="V1001" s="32">
        <f>IF($M1001="","",IF($M1001=0,"Out of stock",IF(OR($P1001="",$Q1001=""),"No window",IF(YEAR(TODAY())&lt;$P1001,"Too young",IF(YEAR(TODAY())&gt;$Q1001,"Past peak",IF(YEAR(TODAY())=$Q1001,"Drink now","Ready"))))))</f>
        <v/>
      </c>
    </row>
    <row r="1002">
      <c r="A1002" s="32">
        <f>IF($B1002="","",IFERROR(IMAGE($B1002,4,60,60),""))</f>
        <v/>
      </c>
      <c r="T1002" s="68" t="n"/>
      <c r="V1002" s="32">
        <f>IF($M1002="","",IF($M1002=0,"Out of stock",IF(OR($P1002="",$Q1002=""),"No window",IF(YEAR(TODAY())&lt;$P1002,"Too young",IF(YEAR(TODAY())&gt;$Q1002,"Past peak",IF(YEAR(TODAY())=$Q1002,"Drink now","Ready"))))))</f>
        <v/>
      </c>
    </row>
    <row r="1003">
      <c r="A1003" s="32">
        <f>IF($B1003="","",IFERROR(IMAGE($B1003,4,60,60),""))</f>
        <v/>
      </c>
      <c r="T1003" s="68" t="n"/>
      <c r="V1003" s="32">
        <f>IF($M1003="","",IF($M1003=0,"Out of stock",IF(OR($P1003="",$Q1003=""),"No window",IF(YEAR(TODAY())&lt;$P1003,"Too young",IF(YEAR(TODAY())&gt;$Q1003,"Past peak",IF(YEAR(TODAY())=$Q1003,"Drink now","Ready"))))))</f>
        <v/>
      </c>
    </row>
    <row r="1004">
      <c r="A1004" s="32">
        <f>IF($B1004="","",IFERROR(IMAGE($B1004,4,60,60),""))</f>
        <v/>
      </c>
      <c r="T1004" s="68" t="n"/>
      <c r="V1004" s="32">
        <f>IF($M1004="","",IF($M1004=0,"Out of stock",IF(OR($P1004="",$Q1004=""),"No window",IF(YEAR(TODAY())&lt;$P1004,"Too young",IF(YEAR(TODAY())&gt;$Q1004,"Past peak",IF(YEAR(TODAY())=$Q1004,"Drink now","Ready"))))))</f>
        <v/>
      </c>
    </row>
    <row r="1005">
      <c r="A1005" s="32">
        <f>IF($B1005="","",IFERROR(IMAGE($B1005,4,60,60),""))</f>
        <v/>
      </c>
      <c r="T1005" s="68" t="n"/>
      <c r="V1005" s="32">
        <f>IF($M1005="","",IF($M1005=0,"Out of stock",IF(OR($P1005="",$Q1005=""),"No window",IF(YEAR(TODAY())&lt;$P1005,"Too young",IF(YEAR(TODAY())&gt;$Q1005,"Past peak",IF(YEAR(TODAY())=$Q1005,"Drink now","Ready"))))))</f>
        <v/>
      </c>
    </row>
    <row r="1006">
      <c r="A1006" s="32">
        <f>IF($B1006="","",IFERROR(IMAGE($B1006,4,60,60),""))</f>
        <v/>
      </c>
      <c r="T1006" s="68" t="n"/>
      <c r="V1006" s="32">
        <f>IF($M1006="","",IF($M1006=0,"Out of stock",IF(OR($P1006="",$Q1006=""),"No window",IF(YEAR(TODAY())&lt;$P1006,"Too young",IF(YEAR(TODAY())&gt;$Q1006,"Past peak",IF(YEAR(TODAY())=$Q1006,"Drink now","Ready"))))))</f>
        <v/>
      </c>
    </row>
    <row r="1007">
      <c r="A1007" s="32">
        <f>IF($B1007="","",IFERROR(IMAGE($B1007,4,60,60),""))</f>
        <v/>
      </c>
      <c r="T1007" s="68" t="n"/>
      <c r="V1007" s="32">
        <f>IF($M1007="","",IF($M1007=0,"Out of stock",IF(OR($P1007="",$Q1007=""),"No window",IF(YEAR(TODAY())&lt;$P1007,"Too young",IF(YEAR(TODAY())&gt;$Q1007,"Past peak",IF(YEAR(TODAY())=$Q1007,"Drink now","Ready"))))))</f>
        <v/>
      </c>
    </row>
    <row r="1008">
      <c r="A1008" s="32">
        <f>IF($B1008="","",IFERROR(IMAGE($B1008,4,60,60),""))</f>
        <v/>
      </c>
      <c r="T1008" s="68" t="n"/>
      <c r="V1008" s="32">
        <f>IF($M1008="","",IF($M1008=0,"Out of stock",IF(OR($P1008="",$Q1008=""),"No window",IF(YEAR(TODAY())&lt;$P1008,"Too young",IF(YEAR(TODAY())&gt;$Q1008,"Past peak",IF(YEAR(TODAY())=$Q1008,"Drink now","Ready"))))))</f>
        <v/>
      </c>
    </row>
    <row r="1009">
      <c r="A1009" s="32">
        <f>IF($B1009="","",IFERROR(IMAGE($B1009,4,60,60),""))</f>
        <v/>
      </c>
      <c r="T1009" s="68" t="n"/>
      <c r="V1009" s="32">
        <f>IF($M1009="","",IF($M1009=0,"Out of stock",IF(OR($P1009="",$Q1009=""),"No window",IF(YEAR(TODAY())&lt;$P1009,"Too young",IF(YEAR(TODAY())&gt;$Q1009,"Past peak",IF(YEAR(TODAY())=$Q1009,"Drink now","Ready"))))))</f>
        <v/>
      </c>
    </row>
    <row r="1010">
      <c r="A1010" s="32">
        <f>IF($B1010="","",IFERROR(IMAGE($B1010,4,60,60),""))</f>
        <v/>
      </c>
      <c r="T1010" s="68" t="n"/>
      <c r="V1010" s="32">
        <f>IF($M1010="","",IF($M1010=0,"Out of stock",IF(OR($P1010="",$Q1010=""),"No window",IF(YEAR(TODAY())&lt;$P1010,"Too young",IF(YEAR(TODAY())&gt;$Q1010,"Past peak",IF(YEAR(TODAY())=$Q1010,"Drink now","Ready"))))))</f>
        <v/>
      </c>
    </row>
    <row r="1011">
      <c r="A1011" s="32">
        <f>IF($B1011="","",IFERROR(IMAGE($B1011,4,60,60),""))</f>
        <v/>
      </c>
      <c r="T1011" s="68" t="n"/>
      <c r="V1011" s="32">
        <f>IF($M1011="","",IF($M1011=0,"Out of stock",IF(OR($P1011="",$Q1011=""),"No window",IF(YEAR(TODAY())&lt;$P1011,"Too young",IF(YEAR(TODAY())&gt;$Q1011,"Past peak",IF(YEAR(TODAY())=$Q1011,"Drink now","Ready"))))))</f>
        <v/>
      </c>
    </row>
    <row r="1012">
      <c r="A1012" s="32">
        <f>IF($B1012="","",IFERROR(IMAGE($B1012,4,60,60),""))</f>
        <v/>
      </c>
      <c r="T1012" s="68" t="n"/>
      <c r="V1012" s="32">
        <f>IF($M1012="","",IF($M1012=0,"Out of stock",IF(OR($P1012="",$Q1012=""),"No window",IF(YEAR(TODAY())&lt;$P1012,"Too young",IF(YEAR(TODAY())&gt;$Q1012,"Past peak",IF(YEAR(TODAY())=$Q1012,"Drink now","Ready"))))))</f>
        <v/>
      </c>
    </row>
    <row r="1013">
      <c r="A1013" s="32">
        <f>IF($B1013="","",IFERROR(IMAGE($B1013,4,60,60),""))</f>
        <v/>
      </c>
      <c r="T1013" s="68" t="n"/>
      <c r="V1013" s="32">
        <f>IF($M1013="","",IF($M1013=0,"Out of stock",IF(OR($P1013="",$Q1013=""),"No window",IF(YEAR(TODAY())&lt;$P1013,"Too young",IF(YEAR(TODAY())&gt;$Q1013,"Past peak",IF(YEAR(TODAY())=$Q1013,"Drink now","Ready"))))))</f>
        <v/>
      </c>
    </row>
    <row r="1014">
      <c r="A1014" s="32">
        <f>IF($B1014="","",IFERROR(IMAGE($B1014,4,60,60),""))</f>
        <v/>
      </c>
      <c r="T1014" s="68" t="n"/>
      <c r="V1014" s="32">
        <f>IF($M1014="","",IF($M1014=0,"Out of stock",IF(OR($P1014="",$Q1014=""),"No window",IF(YEAR(TODAY())&lt;$P1014,"Too young",IF(YEAR(TODAY())&gt;$Q1014,"Past peak",IF(YEAR(TODAY())=$Q1014,"Drink now","Ready"))))))</f>
        <v/>
      </c>
    </row>
    <row r="1015">
      <c r="A1015" s="32">
        <f>IF($B1015="","",IFERROR(IMAGE($B1015,4,60,60),""))</f>
        <v/>
      </c>
      <c r="T1015" s="68" t="n"/>
      <c r="V1015" s="32">
        <f>IF($M1015="","",IF($M1015=0,"Out of stock",IF(OR($P1015="",$Q1015=""),"No window",IF(YEAR(TODAY())&lt;$P1015,"Too young",IF(YEAR(TODAY())&gt;$Q1015,"Past peak",IF(YEAR(TODAY())=$Q1015,"Drink now","Ready"))))))</f>
        <v/>
      </c>
    </row>
    <row r="1016">
      <c r="A1016" s="32">
        <f>IF($B1016="","",IFERROR(IMAGE($B1016,4,60,60),""))</f>
        <v/>
      </c>
      <c r="T1016" s="68" t="n"/>
      <c r="V1016" s="32">
        <f>IF($M1016="","",IF($M1016=0,"Out of stock",IF(OR($P1016="",$Q1016=""),"No window",IF(YEAR(TODAY())&lt;$P1016,"Too young",IF(YEAR(TODAY())&gt;$Q1016,"Past peak",IF(YEAR(TODAY())=$Q1016,"Drink now","Ready"))))))</f>
        <v/>
      </c>
    </row>
    <row r="1017">
      <c r="A1017" s="32">
        <f>IF($B1017="","",IFERROR(IMAGE($B1017,4,60,60),""))</f>
        <v/>
      </c>
      <c r="T1017" s="68" t="n"/>
      <c r="V1017" s="32">
        <f>IF($M1017="","",IF($M1017=0,"Out of stock",IF(OR($P1017="",$Q1017=""),"No window",IF(YEAR(TODAY())&lt;$P1017,"Too young",IF(YEAR(TODAY())&gt;$Q1017,"Past peak",IF(YEAR(TODAY())=$Q1017,"Drink now","Ready"))))))</f>
        <v/>
      </c>
    </row>
    <row r="1018">
      <c r="A1018" s="32">
        <f>IF($B1018="","",IFERROR(IMAGE($B1018,4,60,60),""))</f>
        <v/>
      </c>
      <c r="T1018" s="68" t="n"/>
      <c r="V1018" s="32">
        <f>IF($M1018="","",IF($M1018=0,"Out of stock",IF(OR($P1018="",$Q1018=""),"No window",IF(YEAR(TODAY())&lt;$P1018,"Too young",IF(YEAR(TODAY())&gt;$Q1018,"Past peak",IF(YEAR(TODAY())=$Q1018,"Drink now","Ready"))))))</f>
        <v/>
      </c>
    </row>
    <row r="1019">
      <c r="A1019" s="32">
        <f>IF($B1019="","",IFERROR(IMAGE($B1019,4,60,60),""))</f>
        <v/>
      </c>
      <c r="T1019" s="68" t="n"/>
      <c r="V1019" s="32">
        <f>IF($M1019="","",IF($M1019=0,"Out of stock",IF(OR($P1019="",$Q1019=""),"No window",IF(YEAR(TODAY())&lt;$P1019,"Too young",IF(YEAR(TODAY())&gt;$Q1019,"Past peak",IF(YEAR(TODAY())=$Q1019,"Drink now","Ready"))))))</f>
        <v/>
      </c>
    </row>
    <row r="1020">
      <c r="A1020" s="32">
        <f>IF($B1020="","",IFERROR(IMAGE($B1020,4,60,60),""))</f>
        <v/>
      </c>
      <c r="T1020" s="68" t="n"/>
      <c r="V1020" s="32">
        <f>IF($M1020="","",IF($M1020=0,"Out of stock",IF(OR($P1020="",$Q1020=""),"No window",IF(YEAR(TODAY())&lt;$P1020,"Too young",IF(YEAR(TODAY())&gt;$Q1020,"Past peak",IF(YEAR(TODAY())=$Q1020,"Drink now","Ready"))))))</f>
        <v/>
      </c>
    </row>
    <row r="1021">
      <c r="A1021" s="32">
        <f>IF($B1021="","",IFERROR(IMAGE($B1021,4,60,60),""))</f>
        <v/>
      </c>
      <c r="T1021" s="68" t="n"/>
      <c r="V1021" s="32">
        <f>IF($M1021="","",IF($M1021=0,"Out of stock",IF(OR($P1021="",$Q1021=""),"No window",IF(YEAR(TODAY())&lt;$P1021,"Too young",IF(YEAR(TODAY())&gt;$Q1021,"Past peak",IF(YEAR(TODAY())=$Q1021,"Drink now","Ready"))))))</f>
        <v/>
      </c>
    </row>
    <row r="1022">
      <c r="A1022" s="32">
        <f>IF($B1022="","",IFERROR(IMAGE($B1022,4,60,60),""))</f>
        <v/>
      </c>
      <c r="T1022" s="68" t="n"/>
      <c r="V1022" s="32">
        <f>IF($M1022="","",IF($M1022=0,"Out of stock",IF(OR($P1022="",$Q1022=""),"No window",IF(YEAR(TODAY())&lt;$P1022,"Too young",IF(YEAR(TODAY())&gt;$Q1022,"Past peak",IF(YEAR(TODAY())=$Q1022,"Drink now","Ready"))))))</f>
        <v/>
      </c>
    </row>
    <row r="1023">
      <c r="A1023" s="32">
        <f>IF($B1023="","",IFERROR(IMAGE($B1023,4,60,60),""))</f>
        <v/>
      </c>
      <c r="T1023" s="68" t="n"/>
      <c r="V1023" s="32">
        <f>IF($M1023="","",IF($M1023=0,"Out of stock",IF(OR($P1023="",$Q1023=""),"No window",IF(YEAR(TODAY())&lt;$P1023,"Too young",IF(YEAR(TODAY())&gt;$Q1023,"Past peak",IF(YEAR(TODAY())=$Q1023,"Drink now","Ready"))))))</f>
        <v/>
      </c>
    </row>
    <row r="1024">
      <c r="A1024" s="32">
        <f>IF($B1024="","",IFERROR(IMAGE($B1024,4,60,60),""))</f>
        <v/>
      </c>
      <c r="T1024" s="68" t="n"/>
      <c r="V1024" s="32">
        <f>IF($M1024="","",IF($M1024=0,"Out of stock",IF(OR($P1024="",$Q1024=""),"No window",IF(YEAR(TODAY())&lt;$P1024,"Too young",IF(YEAR(TODAY())&gt;$Q1024,"Past peak",IF(YEAR(TODAY())=$Q1024,"Drink now","Ready"))))))</f>
        <v/>
      </c>
    </row>
    <row r="1025">
      <c r="A1025" s="32">
        <f>IF($B1025="","",IFERROR(IMAGE($B1025,4,60,60),""))</f>
        <v/>
      </c>
      <c r="T1025" s="68" t="n"/>
      <c r="V1025" s="32">
        <f>IF($M1025="","",IF($M1025=0,"Out of stock",IF(OR($P1025="",$Q1025=""),"No window",IF(YEAR(TODAY())&lt;$P1025,"Too young",IF(YEAR(TODAY())&gt;$Q1025,"Past peak",IF(YEAR(TODAY())=$Q1025,"Drink now","Ready"))))))</f>
        <v/>
      </c>
    </row>
    <row r="1026">
      <c r="A1026" s="32">
        <f>IF($B1026="","",IFERROR(IMAGE($B1026,4,60,60),""))</f>
        <v/>
      </c>
      <c r="T1026" s="68" t="n"/>
      <c r="V1026" s="32">
        <f>IF($M1026="","",IF($M1026=0,"Out of stock",IF(OR($P1026="",$Q1026=""),"No window",IF(YEAR(TODAY())&lt;$P1026,"Too young",IF(YEAR(TODAY())&gt;$Q1026,"Past peak",IF(YEAR(TODAY())=$Q1026,"Drink now","Ready"))))))</f>
        <v/>
      </c>
    </row>
    <row r="1027">
      <c r="A1027" s="32">
        <f>IF($B1027="","",IFERROR(IMAGE($B1027,4,60,60),""))</f>
        <v/>
      </c>
      <c r="T1027" s="68" t="n"/>
      <c r="V1027" s="32">
        <f>IF($M1027="","",IF($M1027=0,"Out of stock",IF(OR($P1027="",$Q1027=""),"No window",IF(YEAR(TODAY())&lt;$P1027,"Too young",IF(YEAR(TODAY())&gt;$Q1027,"Past peak",IF(YEAR(TODAY())=$Q1027,"Drink now","Ready"))))))</f>
        <v/>
      </c>
    </row>
    <row r="1028">
      <c r="A1028" s="32">
        <f>IF($B1028="","",IFERROR(IMAGE($B1028,4,60,60),""))</f>
        <v/>
      </c>
      <c r="T1028" s="68" t="n"/>
      <c r="V1028" s="32">
        <f>IF($M1028="","",IF($M1028=0,"Out of stock",IF(OR($P1028="",$Q1028=""),"No window",IF(YEAR(TODAY())&lt;$P1028,"Too young",IF(YEAR(TODAY())&gt;$Q1028,"Past peak",IF(YEAR(TODAY())=$Q1028,"Drink now","Ready"))))))</f>
        <v/>
      </c>
    </row>
    <row r="1029">
      <c r="A1029" s="32">
        <f>IF($B1029="","",IFERROR(IMAGE($B1029,4,60,60),""))</f>
        <v/>
      </c>
      <c r="T1029" s="68" t="n"/>
      <c r="V1029" s="32">
        <f>IF($M1029="","",IF($M1029=0,"Out of stock",IF(OR($P1029="",$Q1029=""),"No window",IF(YEAR(TODAY())&lt;$P1029,"Too young",IF(YEAR(TODAY())&gt;$Q1029,"Past peak",IF(YEAR(TODAY())=$Q1029,"Drink now","Ready"))))))</f>
        <v/>
      </c>
    </row>
    <row r="1030">
      <c r="A1030" s="32">
        <f>IF($B1030="","",IFERROR(IMAGE($B1030,4,60,60),""))</f>
        <v/>
      </c>
      <c r="T1030" s="68" t="n"/>
      <c r="V1030" s="32">
        <f>IF($M1030="","",IF($M1030=0,"Out of stock",IF(OR($P1030="",$Q1030=""),"No window",IF(YEAR(TODAY())&lt;$P1030,"Too young",IF(YEAR(TODAY())&gt;$Q1030,"Past peak",IF(YEAR(TODAY())=$Q1030,"Drink now","Ready"))))))</f>
        <v/>
      </c>
    </row>
    <row r="1031">
      <c r="A1031" s="32">
        <f>IF($B1031="","",IFERROR(IMAGE($B1031,4,60,60),""))</f>
        <v/>
      </c>
      <c r="T1031" s="68" t="n"/>
      <c r="V1031" s="32">
        <f>IF($M1031="","",IF($M1031=0,"Out of stock",IF(OR($P1031="",$Q1031=""),"No window",IF(YEAR(TODAY())&lt;$P1031,"Too young",IF(YEAR(TODAY())&gt;$Q1031,"Past peak",IF(YEAR(TODAY())=$Q1031,"Drink now","Ready"))))))</f>
        <v/>
      </c>
    </row>
    <row r="1032">
      <c r="A1032" s="32">
        <f>IF($B1032="","",IFERROR(IMAGE($B1032,4,60,60),""))</f>
        <v/>
      </c>
      <c r="T1032" s="68" t="n"/>
      <c r="V1032" s="32">
        <f>IF($M1032="","",IF($M1032=0,"Out of stock",IF(OR($P1032="",$Q1032=""),"No window",IF(YEAR(TODAY())&lt;$P1032,"Too young",IF(YEAR(TODAY())&gt;$Q1032,"Past peak",IF(YEAR(TODAY())=$Q1032,"Drink now","Ready"))))))</f>
        <v/>
      </c>
    </row>
    <row r="1033">
      <c r="A1033" s="32">
        <f>IF($B1033="","",IFERROR(IMAGE($B1033,4,60,60),""))</f>
        <v/>
      </c>
      <c r="T1033" s="68" t="n"/>
      <c r="V1033" s="32">
        <f>IF($M1033="","",IF($M1033=0,"Out of stock",IF(OR($P1033="",$Q1033=""),"No window",IF(YEAR(TODAY())&lt;$P1033,"Too young",IF(YEAR(TODAY())&gt;$Q1033,"Past peak",IF(YEAR(TODAY())=$Q1033,"Drink now","Ready"))))))</f>
        <v/>
      </c>
    </row>
    <row r="1034">
      <c r="A1034" s="32">
        <f>IF($B1034="","",IFERROR(IMAGE($B1034,4,60,60),""))</f>
        <v/>
      </c>
      <c r="T1034" s="68" t="n"/>
      <c r="V1034" s="32">
        <f>IF($M1034="","",IF($M1034=0,"Out of stock",IF(OR($P1034="",$Q1034=""),"No window",IF(YEAR(TODAY())&lt;$P1034,"Too young",IF(YEAR(TODAY())&gt;$Q1034,"Past peak",IF(YEAR(TODAY())=$Q1034,"Drink now","Ready"))))))</f>
        <v/>
      </c>
    </row>
    <row r="1035">
      <c r="A1035" s="32">
        <f>IF($B1035="","",IFERROR(IMAGE($B1035,4,60,60),""))</f>
        <v/>
      </c>
      <c r="T1035" s="68" t="n"/>
      <c r="V1035" s="32">
        <f>IF($M1035="","",IF($M1035=0,"Out of stock",IF(OR($P1035="",$Q1035=""),"No window",IF(YEAR(TODAY())&lt;$P1035,"Too young",IF(YEAR(TODAY())&gt;$Q1035,"Past peak",IF(YEAR(TODAY())=$Q1035,"Drink now","Ready"))))))</f>
        <v/>
      </c>
    </row>
    <row r="1036">
      <c r="A1036" s="32">
        <f>IF($B1036="","",IFERROR(IMAGE($B1036,4,60,60),""))</f>
        <v/>
      </c>
      <c r="T1036" s="68" t="n"/>
      <c r="V1036" s="32">
        <f>IF($M1036="","",IF($M1036=0,"Out of stock",IF(OR($P1036="",$Q1036=""),"No window",IF(YEAR(TODAY())&lt;$P1036,"Too young",IF(YEAR(TODAY())&gt;$Q1036,"Past peak",IF(YEAR(TODAY())=$Q1036,"Drink now","Ready"))))))</f>
        <v/>
      </c>
    </row>
    <row r="1037">
      <c r="A1037" s="32">
        <f>IF($B1037="","",IFERROR(IMAGE($B1037,4,60,60),""))</f>
        <v/>
      </c>
      <c r="T1037" s="68" t="n"/>
      <c r="V1037" s="32">
        <f>IF($M1037="","",IF($M1037=0,"Out of stock",IF(OR($P1037="",$Q1037=""),"No window",IF(YEAR(TODAY())&lt;$P1037,"Too young",IF(YEAR(TODAY())&gt;$Q1037,"Past peak",IF(YEAR(TODAY())=$Q1037,"Drink now","Ready"))))))</f>
        <v/>
      </c>
    </row>
    <row r="1038">
      <c r="A1038" s="32">
        <f>IF($B1038="","",IFERROR(IMAGE($B1038,4,60,60),""))</f>
        <v/>
      </c>
      <c r="T1038" s="68" t="n"/>
      <c r="V1038" s="32">
        <f>IF($M1038="","",IF($M1038=0,"Out of stock",IF(OR($P1038="",$Q1038=""),"No window",IF(YEAR(TODAY())&lt;$P1038,"Too young",IF(YEAR(TODAY())&gt;$Q1038,"Past peak",IF(YEAR(TODAY())=$Q1038,"Drink now","Ready"))))))</f>
        <v/>
      </c>
    </row>
    <row r="1039">
      <c r="A1039" s="32">
        <f>IF($B1039="","",IFERROR(IMAGE($B1039,4,60,60),""))</f>
        <v/>
      </c>
      <c r="T1039" s="68" t="n"/>
      <c r="V1039" s="32">
        <f>IF($M1039="","",IF($M1039=0,"Out of stock",IF(OR($P1039="",$Q1039=""),"No window",IF(YEAR(TODAY())&lt;$P1039,"Too young",IF(YEAR(TODAY())&gt;$Q1039,"Past peak",IF(YEAR(TODAY())=$Q1039,"Drink now","Ready"))))))</f>
        <v/>
      </c>
    </row>
    <row r="1040">
      <c r="A1040" s="32">
        <f>IF($B1040="","",IFERROR(IMAGE($B1040,4,60,60),""))</f>
        <v/>
      </c>
      <c r="T1040" s="68" t="n"/>
      <c r="V1040" s="32">
        <f>IF($M1040="","",IF($M1040=0,"Out of stock",IF(OR($P1040="",$Q1040=""),"No window",IF(YEAR(TODAY())&lt;$P1040,"Too young",IF(YEAR(TODAY())&gt;$Q1040,"Past peak",IF(YEAR(TODAY())=$Q1040,"Drink now","Ready"))))))</f>
        <v/>
      </c>
    </row>
    <row r="1041">
      <c r="A1041" s="32">
        <f>IF($B1041="","",IFERROR(IMAGE($B1041,4,60,60),""))</f>
        <v/>
      </c>
      <c r="T1041" s="68" t="n"/>
      <c r="V1041" s="32">
        <f>IF($M1041="","",IF($M1041=0,"Out of stock",IF(OR($P1041="",$Q1041=""),"No window",IF(YEAR(TODAY())&lt;$P1041,"Too young",IF(YEAR(TODAY())&gt;$Q1041,"Past peak",IF(YEAR(TODAY())=$Q1041,"Drink now","Ready"))))))</f>
        <v/>
      </c>
    </row>
    <row r="1042">
      <c r="A1042" s="32">
        <f>IF($B1042="","",IFERROR(IMAGE($B1042,4,60,60),""))</f>
        <v/>
      </c>
      <c r="T1042" s="68" t="n"/>
      <c r="V1042" s="32">
        <f>IF($M1042="","",IF($M1042=0,"Out of stock",IF(OR($P1042="",$Q1042=""),"No window",IF(YEAR(TODAY())&lt;$P1042,"Too young",IF(YEAR(TODAY())&gt;$Q1042,"Past peak",IF(YEAR(TODAY())=$Q1042,"Drink now","Ready"))))))</f>
        <v/>
      </c>
    </row>
    <row r="1043">
      <c r="A1043" s="32">
        <f>IF($B1043="","",IFERROR(IMAGE($B1043,4,60,60),""))</f>
        <v/>
      </c>
      <c r="T1043" s="68" t="n"/>
      <c r="V1043" s="32">
        <f>IF($M1043="","",IF($M1043=0,"Out of stock",IF(OR($P1043="",$Q1043=""),"No window",IF(YEAR(TODAY())&lt;$P1043,"Too young",IF(YEAR(TODAY())&gt;$Q1043,"Past peak",IF(YEAR(TODAY())=$Q1043,"Drink now","Ready"))))))</f>
        <v/>
      </c>
    </row>
    <row r="1044">
      <c r="A1044" s="32">
        <f>IF($B1044="","",IFERROR(IMAGE($B1044,4,60,60),""))</f>
        <v/>
      </c>
      <c r="T1044" s="68" t="n"/>
      <c r="V1044" s="32">
        <f>IF($M1044="","",IF($M1044=0,"Out of stock",IF(OR($P1044="",$Q1044=""),"No window",IF(YEAR(TODAY())&lt;$P1044,"Too young",IF(YEAR(TODAY())&gt;$Q1044,"Past peak",IF(YEAR(TODAY())=$Q1044,"Drink now","Ready"))))))</f>
        <v/>
      </c>
    </row>
    <row r="1045">
      <c r="A1045" s="32">
        <f>IF($B1045="","",IFERROR(IMAGE($B1045,4,60,60),""))</f>
        <v/>
      </c>
      <c r="T1045" s="68" t="n"/>
      <c r="V1045" s="32">
        <f>IF($M1045="","",IF($M1045=0,"Out of stock",IF(OR($P1045="",$Q1045=""),"No window",IF(YEAR(TODAY())&lt;$P1045,"Too young",IF(YEAR(TODAY())&gt;$Q1045,"Past peak",IF(YEAR(TODAY())=$Q1045,"Drink now","Ready"))))))</f>
        <v/>
      </c>
    </row>
    <row r="1046">
      <c r="A1046" s="32">
        <f>IF($B1046="","",IFERROR(IMAGE($B1046,4,60,60),""))</f>
        <v/>
      </c>
      <c r="T1046" s="68" t="n"/>
      <c r="V1046" s="32">
        <f>IF($M1046="","",IF($M1046=0,"Out of stock",IF(OR($P1046="",$Q1046=""),"No window",IF(YEAR(TODAY())&lt;$P1046,"Too young",IF(YEAR(TODAY())&gt;$Q1046,"Past peak",IF(YEAR(TODAY())=$Q1046,"Drink now","Ready"))))))</f>
        <v/>
      </c>
    </row>
    <row r="1047">
      <c r="A1047" s="32">
        <f>IF($B1047="","",IFERROR(IMAGE($B1047,4,60,60),""))</f>
        <v/>
      </c>
      <c r="T1047" s="68" t="n"/>
      <c r="V1047" s="32">
        <f>IF($M1047="","",IF($M1047=0,"Out of stock",IF(OR($P1047="",$Q1047=""),"No window",IF(YEAR(TODAY())&lt;$P1047,"Too young",IF(YEAR(TODAY())&gt;$Q1047,"Past peak",IF(YEAR(TODAY())=$Q1047,"Drink now","Ready"))))))</f>
        <v/>
      </c>
    </row>
    <row r="1048">
      <c r="A1048" s="32">
        <f>IF($B1048="","",IFERROR(IMAGE($B1048,4,60,60),""))</f>
        <v/>
      </c>
      <c r="T1048" s="68" t="n"/>
      <c r="V1048" s="32">
        <f>IF($M1048="","",IF($M1048=0,"Out of stock",IF(OR($P1048="",$Q1048=""),"No window",IF(YEAR(TODAY())&lt;$P1048,"Too young",IF(YEAR(TODAY())&gt;$Q1048,"Past peak",IF(YEAR(TODAY())=$Q1048,"Drink now","Ready"))))))</f>
        <v/>
      </c>
    </row>
    <row r="1049">
      <c r="A1049" s="32">
        <f>IF($B1049="","",IFERROR(IMAGE($B1049,4,60,60),""))</f>
        <v/>
      </c>
      <c r="T1049" s="68" t="n"/>
      <c r="V1049" s="32">
        <f>IF($M1049="","",IF($M1049=0,"Out of stock",IF(OR($P1049="",$Q1049=""),"No window",IF(YEAR(TODAY())&lt;$P1049,"Too young",IF(YEAR(TODAY())&gt;$Q1049,"Past peak",IF(YEAR(TODAY())=$Q1049,"Drink now","Ready"))))))</f>
        <v/>
      </c>
    </row>
    <row r="1050">
      <c r="A1050" s="32">
        <f>IF($B1050="","",IFERROR(IMAGE($B1050,4,60,60),""))</f>
        <v/>
      </c>
      <c r="T1050" s="68" t="n"/>
      <c r="V1050" s="32">
        <f>IF($M1050="","",IF($M1050=0,"Out of stock",IF(OR($P1050="",$Q1050=""),"No window",IF(YEAR(TODAY())&lt;$P1050,"Too young",IF(YEAR(TODAY())&gt;$Q1050,"Past peak",IF(YEAR(TODAY())=$Q1050,"Drink now","Ready"))))))</f>
        <v/>
      </c>
    </row>
    <row r="1051">
      <c r="A1051" s="32">
        <f>IF($B1051="","",IFERROR(IMAGE($B1051,4,60,60),""))</f>
        <v/>
      </c>
      <c r="T1051" s="68" t="n"/>
      <c r="V1051" s="32">
        <f>IF($M1051="","",IF($M1051=0,"Out of stock",IF(OR($P1051="",$Q1051=""),"No window",IF(YEAR(TODAY())&lt;$P1051,"Too young",IF(YEAR(TODAY())&gt;$Q1051,"Past peak",IF(YEAR(TODAY())=$Q1051,"Drink now","Ready"))))))</f>
        <v/>
      </c>
    </row>
    <row r="1052">
      <c r="A1052" s="32">
        <f>IF($B1052="","",IFERROR(IMAGE($B1052,4,60,60),""))</f>
        <v/>
      </c>
      <c r="T1052" s="68" t="n"/>
      <c r="V1052" s="32">
        <f>IF($M1052="","",IF($M1052=0,"Out of stock",IF(OR($P1052="",$Q1052=""),"No window",IF(YEAR(TODAY())&lt;$P1052,"Too young",IF(YEAR(TODAY())&gt;$Q1052,"Past peak",IF(YEAR(TODAY())=$Q1052,"Drink now","Ready"))))))</f>
        <v/>
      </c>
    </row>
    <row r="1053">
      <c r="A1053" s="32">
        <f>IF($B1053="","",IFERROR(IMAGE($B1053,4,60,60),""))</f>
        <v/>
      </c>
      <c r="T1053" s="68" t="n"/>
      <c r="V1053" s="32">
        <f>IF($M1053="","",IF($M1053=0,"Out of stock",IF(OR($P1053="",$Q1053=""),"No window",IF(YEAR(TODAY())&lt;$P1053,"Too young",IF(YEAR(TODAY())&gt;$Q1053,"Past peak",IF(YEAR(TODAY())=$Q1053,"Drink now","Ready"))))))</f>
        <v/>
      </c>
    </row>
    <row r="1054">
      <c r="A1054" s="32">
        <f>IF($B1054="","",IFERROR(IMAGE($B1054,4,60,60),""))</f>
        <v/>
      </c>
      <c r="T1054" s="68" t="n"/>
      <c r="V1054" s="32">
        <f>IF($M1054="","",IF($M1054=0,"Out of stock",IF(OR($P1054="",$Q1054=""),"No window",IF(YEAR(TODAY())&lt;$P1054,"Too young",IF(YEAR(TODAY())&gt;$Q1054,"Past peak",IF(YEAR(TODAY())=$Q1054,"Drink now","Ready"))))))</f>
        <v/>
      </c>
    </row>
    <row r="1055">
      <c r="A1055" s="32">
        <f>IF($B1055="","",IFERROR(IMAGE($B1055,4,60,60),""))</f>
        <v/>
      </c>
      <c r="T1055" s="68" t="n"/>
      <c r="V1055" s="32">
        <f>IF($M1055="","",IF($M1055=0,"Out of stock",IF(OR($P1055="",$Q1055=""),"No window",IF(YEAR(TODAY())&lt;$P1055,"Too young",IF(YEAR(TODAY())&gt;$Q1055,"Past peak",IF(YEAR(TODAY())=$Q1055,"Drink now","Ready"))))))</f>
        <v/>
      </c>
    </row>
    <row r="1056">
      <c r="A1056" s="32">
        <f>IF($B1056="","",IFERROR(IMAGE($B1056,4,60,60),""))</f>
        <v/>
      </c>
      <c r="T1056" s="68" t="n"/>
      <c r="V1056" s="32">
        <f>IF($M1056="","",IF($M1056=0,"Out of stock",IF(OR($P1056="",$Q1056=""),"No window",IF(YEAR(TODAY())&lt;$P1056,"Too young",IF(YEAR(TODAY())&gt;$Q1056,"Past peak",IF(YEAR(TODAY())=$Q1056,"Drink now","Ready"))))))</f>
        <v/>
      </c>
    </row>
    <row r="1057">
      <c r="A1057" s="32">
        <f>IF($B1057="","",IFERROR(IMAGE($B1057,4,60,60),""))</f>
        <v/>
      </c>
      <c r="T1057" s="68" t="n"/>
      <c r="V1057" s="32">
        <f>IF($M1057="","",IF($M1057=0,"Out of stock",IF(OR($P1057="",$Q1057=""),"No window",IF(YEAR(TODAY())&lt;$P1057,"Too young",IF(YEAR(TODAY())&gt;$Q1057,"Past peak",IF(YEAR(TODAY())=$Q1057,"Drink now","Ready"))))))</f>
        <v/>
      </c>
    </row>
    <row r="1058">
      <c r="A1058" s="32">
        <f>IF($B1058="","",IFERROR(IMAGE($B1058,4,60,60),""))</f>
        <v/>
      </c>
      <c r="T1058" s="68" t="n"/>
      <c r="V1058" s="32">
        <f>IF($M1058="","",IF($M1058=0,"Out of stock",IF(OR($P1058="",$Q1058=""),"No window",IF(YEAR(TODAY())&lt;$P1058,"Too young",IF(YEAR(TODAY())&gt;$Q1058,"Past peak",IF(YEAR(TODAY())=$Q1058,"Drink now","Ready"))))))</f>
        <v/>
      </c>
    </row>
    <row r="1059">
      <c r="A1059" s="32">
        <f>IF($B1059="","",IFERROR(IMAGE($B1059,4,60,60),""))</f>
        <v/>
      </c>
      <c r="T1059" s="68" t="n"/>
      <c r="V1059" s="32">
        <f>IF($M1059="","",IF($M1059=0,"Out of stock",IF(OR($P1059="",$Q1059=""),"No window",IF(YEAR(TODAY())&lt;$P1059,"Too young",IF(YEAR(TODAY())&gt;$Q1059,"Past peak",IF(YEAR(TODAY())=$Q1059,"Drink now","Ready"))))))</f>
        <v/>
      </c>
    </row>
    <row r="1060">
      <c r="A1060" s="32">
        <f>IF($B1060="","",IFERROR(IMAGE($B1060,4,60,60),""))</f>
        <v/>
      </c>
      <c r="T1060" s="68" t="n"/>
      <c r="V1060" s="32">
        <f>IF($M1060="","",IF($M1060=0,"Out of stock",IF(OR($P1060="",$Q1060=""),"No window",IF(YEAR(TODAY())&lt;$P1060,"Too young",IF(YEAR(TODAY())&gt;$Q1060,"Past peak",IF(YEAR(TODAY())=$Q1060,"Drink now","Ready"))))))</f>
        <v/>
      </c>
    </row>
    <row r="1061">
      <c r="A1061" s="32">
        <f>IF($B1061="","",IFERROR(IMAGE($B1061,4,60,60),""))</f>
        <v/>
      </c>
      <c r="T1061" s="68" t="n"/>
      <c r="V1061" s="32">
        <f>IF($M1061="","",IF($M1061=0,"Out of stock",IF(OR($P1061="",$Q1061=""),"No window",IF(YEAR(TODAY())&lt;$P1061,"Too young",IF(YEAR(TODAY())&gt;$Q1061,"Past peak",IF(YEAR(TODAY())=$Q1061,"Drink now","Ready"))))))</f>
        <v/>
      </c>
    </row>
    <row r="1062">
      <c r="A1062" s="32">
        <f>IF($B1062="","",IFERROR(IMAGE($B1062,4,60,60),""))</f>
        <v/>
      </c>
      <c r="T1062" s="68" t="n"/>
      <c r="V1062" s="32">
        <f>IF($M1062="","",IF($M1062=0,"Out of stock",IF(OR($P1062="",$Q1062=""),"No window",IF(YEAR(TODAY())&lt;$P1062,"Too young",IF(YEAR(TODAY())&gt;$Q1062,"Past peak",IF(YEAR(TODAY())=$Q1062,"Drink now","Ready"))))))</f>
        <v/>
      </c>
    </row>
    <row r="1063">
      <c r="A1063" s="32">
        <f>IF($B1063="","",IFERROR(IMAGE($B1063,4,60,60),""))</f>
        <v/>
      </c>
      <c r="T1063" s="68" t="n"/>
      <c r="V1063" s="32">
        <f>IF($M1063="","",IF($M1063=0,"Out of stock",IF(OR($P1063="",$Q1063=""),"No window",IF(YEAR(TODAY())&lt;$P1063,"Too young",IF(YEAR(TODAY())&gt;$Q1063,"Past peak",IF(YEAR(TODAY())=$Q1063,"Drink now","Ready"))))))</f>
        <v/>
      </c>
    </row>
    <row r="1064">
      <c r="A1064" s="32">
        <f>IF($B1064="","",IFERROR(IMAGE($B1064,4,60,60),""))</f>
        <v/>
      </c>
      <c r="T1064" s="68" t="n"/>
      <c r="V1064" s="32">
        <f>IF($M1064="","",IF($M1064=0,"Out of stock",IF(OR($P1064="",$Q1064=""),"No window",IF(YEAR(TODAY())&lt;$P1064,"Too young",IF(YEAR(TODAY())&gt;$Q1064,"Past peak",IF(YEAR(TODAY())=$Q1064,"Drink now","Ready"))))))</f>
        <v/>
      </c>
    </row>
    <row r="1065">
      <c r="A1065" s="32">
        <f>IF($B1065="","",IFERROR(IMAGE($B1065,4,60,60),""))</f>
        <v/>
      </c>
      <c r="T1065" s="68" t="n"/>
      <c r="V1065" s="32">
        <f>IF($M1065="","",IF($M1065=0,"Out of stock",IF(OR($P1065="",$Q1065=""),"No window",IF(YEAR(TODAY())&lt;$P1065,"Too young",IF(YEAR(TODAY())&gt;$Q1065,"Past peak",IF(YEAR(TODAY())=$Q1065,"Drink now","Ready"))))))</f>
        <v/>
      </c>
    </row>
    <row r="1066">
      <c r="A1066" s="32">
        <f>IF($B1066="","",IFERROR(IMAGE($B1066,4,60,60),""))</f>
        <v/>
      </c>
      <c r="T1066" s="68" t="n"/>
      <c r="V1066" s="32">
        <f>IF($M1066="","",IF($M1066=0,"Out of stock",IF(OR($P1066="",$Q1066=""),"No window",IF(YEAR(TODAY())&lt;$P1066,"Too young",IF(YEAR(TODAY())&gt;$Q1066,"Past peak",IF(YEAR(TODAY())=$Q1066,"Drink now","Ready"))))))</f>
        <v/>
      </c>
    </row>
    <row r="1067">
      <c r="A1067" s="32">
        <f>IF($B1067="","",IFERROR(IMAGE($B1067,4,60,60),""))</f>
        <v/>
      </c>
      <c r="T1067" s="68" t="n"/>
      <c r="V1067" s="32">
        <f>IF($M1067="","",IF($M1067=0,"Out of stock",IF(OR($P1067="",$Q1067=""),"No window",IF(YEAR(TODAY())&lt;$P1067,"Too young",IF(YEAR(TODAY())&gt;$Q1067,"Past peak",IF(YEAR(TODAY())=$Q1067,"Drink now","Ready"))))))</f>
        <v/>
      </c>
    </row>
    <row r="1068">
      <c r="A1068" s="32">
        <f>IF($B1068="","",IFERROR(IMAGE($B1068,4,60,60),""))</f>
        <v/>
      </c>
      <c r="T1068" s="68" t="n"/>
      <c r="V1068" s="32">
        <f>IF($M1068="","",IF($M1068=0,"Out of stock",IF(OR($P1068="",$Q1068=""),"No window",IF(YEAR(TODAY())&lt;$P1068,"Too young",IF(YEAR(TODAY())&gt;$Q1068,"Past peak",IF(YEAR(TODAY())=$Q1068,"Drink now","Ready"))))))</f>
        <v/>
      </c>
    </row>
    <row r="1069">
      <c r="A1069" s="32">
        <f>IF($B1069="","",IFERROR(IMAGE($B1069,4,60,60),""))</f>
        <v/>
      </c>
      <c r="T1069" s="68" t="n"/>
      <c r="V1069" s="32">
        <f>IF($M1069="","",IF($M1069=0,"Out of stock",IF(OR($P1069="",$Q1069=""),"No window",IF(YEAR(TODAY())&lt;$P1069,"Too young",IF(YEAR(TODAY())&gt;$Q1069,"Past peak",IF(YEAR(TODAY())=$Q1069,"Drink now","Ready"))))))</f>
        <v/>
      </c>
    </row>
    <row r="1070">
      <c r="A1070" s="32">
        <f>IF($B1070="","",IFERROR(IMAGE($B1070,4,60,60),""))</f>
        <v/>
      </c>
      <c r="T1070" s="68" t="n"/>
      <c r="V1070" s="32">
        <f>IF($M1070="","",IF($M1070=0,"Out of stock",IF(OR($P1070="",$Q1070=""),"No window",IF(YEAR(TODAY())&lt;$P1070,"Too young",IF(YEAR(TODAY())&gt;$Q1070,"Past peak",IF(YEAR(TODAY())=$Q1070,"Drink now","Ready"))))))</f>
        <v/>
      </c>
    </row>
    <row r="1071">
      <c r="A1071" s="32">
        <f>IF($B1071="","",IFERROR(IMAGE($B1071,4,60,60),""))</f>
        <v/>
      </c>
      <c r="T1071" s="68" t="n"/>
      <c r="V1071" s="32">
        <f>IF($M1071="","",IF($M1071=0,"Out of stock",IF(OR($P1071="",$Q1071=""),"No window",IF(YEAR(TODAY())&lt;$P1071,"Too young",IF(YEAR(TODAY())&gt;$Q1071,"Past peak",IF(YEAR(TODAY())=$Q1071,"Drink now","Ready"))))))</f>
        <v/>
      </c>
    </row>
    <row r="1072">
      <c r="A1072" s="32">
        <f>IF($B1072="","",IFERROR(IMAGE($B1072,4,60,60),""))</f>
        <v/>
      </c>
      <c r="T1072" s="68" t="n"/>
      <c r="V1072" s="32">
        <f>IF($M1072="","",IF($M1072=0,"Out of stock",IF(OR($P1072="",$Q1072=""),"No window",IF(YEAR(TODAY())&lt;$P1072,"Too young",IF(YEAR(TODAY())&gt;$Q1072,"Past peak",IF(YEAR(TODAY())=$Q1072,"Drink now","Ready"))))))</f>
        <v/>
      </c>
    </row>
    <row r="1073">
      <c r="A1073" s="32">
        <f>IF($B1073="","",IFERROR(IMAGE($B1073,4,60,60),""))</f>
        <v/>
      </c>
      <c r="T1073" s="68" t="n"/>
      <c r="V1073" s="32">
        <f>IF($M1073="","",IF($M1073=0,"Out of stock",IF(OR($P1073="",$Q1073=""),"No window",IF(YEAR(TODAY())&lt;$P1073,"Too young",IF(YEAR(TODAY())&gt;$Q1073,"Past peak",IF(YEAR(TODAY())=$Q1073,"Drink now","Ready"))))))</f>
        <v/>
      </c>
    </row>
    <row r="1074">
      <c r="A1074" s="32">
        <f>IF($B1074="","",IFERROR(IMAGE($B1074,4,60,60),""))</f>
        <v/>
      </c>
      <c r="T1074" s="68" t="n"/>
      <c r="V1074" s="32">
        <f>IF($M1074="","",IF($M1074=0,"Out of stock",IF(OR($P1074="",$Q1074=""),"No window",IF(YEAR(TODAY())&lt;$P1074,"Too young",IF(YEAR(TODAY())&gt;$Q1074,"Past peak",IF(YEAR(TODAY())=$Q1074,"Drink now","Ready"))))))</f>
        <v/>
      </c>
    </row>
    <row r="1075">
      <c r="A1075" s="32">
        <f>IF($B1075="","",IFERROR(IMAGE($B1075,4,60,60),""))</f>
        <v/>
      </c>
      <c r="T1075" s="68" t="n"/>
      <c r="V1075" s="32">
        <f>IF($M1075="","",IF($M1075=0,"Out of stock",IF(OR($P1075="",$Q1075=""),"No window",IF(YEAR(TODAY())&lt;$P1075,"Too young",IF(YEAR(TODAY())&gt;$Q1075,"Past peak",IF(YEAR(TODAY())=$Q1075,"Drink now","Ready"))))))</f>
        <v/>
      </c>
    </row>
    <row r="1076">
      <c r="A1076" s="32">
        <f>IF($B1076="","",IFERROR(IMAGE($B1076,4,60,60),""))</f>
        <v/>
      </c>
      <c r="T1076" s="68" t="n"/>
      <c r="V1076" s="32">
        <f>IF($M1076="","",IF($M1076=0,"Out of stock",IF(OR($P1076="",$Q1076=""),"No window",IF(YEAR(TODAY())&lt;$P1076,"Too young",IF(YEAR(TODAY())&gt;$Q1076,"Past peak",IF(YEAR(TODAY())=$Q1076,"Drink now","Ready"))))))</f>
        <v/>
      </c>
    </row>
    <row r="1077">
      <c r="A1077" s="32">
        <f>IF($B1077="","",IFERROR(IMAGE($B1077,4,60,60),""))</f>
        <v/>
      </c>
      <c r="T1077" s="68" t="n"/>
      <c r="V1077" s="32">
        <f>IF($M1077="","",IF($M1077=0,"Out of stock",IF(OR($P1077="",$Q1077=""),"No window",IF(YEAR(TODAY())&lt;$P1077,"Too young",IF(YEAR(TODAY())&gt;$Q1077,"Past peak",IF(YEAR(TODAY())=$Q1077,"Drink now","Ready"))))))</f>
        <v/>
      </c>
    </row>
    <row r="1078">
      <c r="A1078" s="32">
        <f>IF($B1078="","",IFERROR(IMAGE($B1078,4,60,60),""))</f>
        <v/>
      </c>
      <c r="T1078" s="68" t="n"/>
      <c r="V1078" s="32">
        <f>IF($M1078="","",IF($M1078=0,"Out of stock",IF(OR($P1078="",$Q1078=""),"No window",IF(YEAR(TODAY())&lt;$P1078,"Too young",IF(YEAR(TODAY())&gt;$Q1078,"Past peak",IF(YEAR(TODAY())=$Q1078,"Drink now","Ready"))))))</f>
        <v/>
      </c>
    </row>
    <row r="1079">
      <c r="A1079" s="32">
        <f>IF($B1079="","",IFERROR(IMAGE($B1079,4,60,60),""))</f>
        <v/>
      </c>
      <c r="T1079" s="68" t="n"/>
      <c r="V1079" s="32">
        <f>IF($M1079="","",IF($M1079=0,"Out of stock",IF(OR($P1079="",$Q1079=""),"No window",IF(YEAR(TODAY())&lt;$P1079,"Too young",IF(YEAR(TODAY())&gt;$Q1079,"Past peak",IF(YEAR(TODAY())=$Q1079,"Drink now","Ready"))))))</f>
        <v/>
      </c>
    </row>
    <row r="1080">
      <c r="A1080" s="32">
        <f>IF($B1080="","",IFERROR(IMAGE($B1080,4,60,60),""))</f>
        <v/>
      </c>
      <c r="T1080" s="68" t="n"/>
      <c r="V1080" s="32">
        <f>IF($M1080="","",IF($M1080=0,"Out of stock",IF(OR($P1080="",$Q1080=""),"No window",IF(YEAR(TODAY())&lt;$P1080,"Too young",IF(YEAR(TODAY())&gt;$Q1080,"Past peak",IF(YEAR(TODAY())=$Q1080,"Drink now","Ready"))))))</f>
        <v/>
      </c>
    </row>
    <row r="1081">
      <c r="A1081" s="32">
        <f>IF($B1081="","",IFERROR(IMAGE($B1081,4,60,60),""))</f>
        <v/>
      </c>
      <c r="T1081" s="68" t="n"/>
      <c r="V1081" s="32">
        <f>IF($M1081="","",IF($M1081=0,"Out of stock",IF(OR($P1081="",$Q1081=""),"No window",IF(YEAR(TODAY())&lt;$P1081,"Too young",IF(YEAR(TODAY())&gt;$Q1081,"Past peak",IF(YEAR(TODAY())=$Q1081,"Drink now","Ready"))))))</f>
        <v/>
      </c>
    </row>
    <row r="1082">
      <c r="A1082" s="32">
        <f>IF($B1082="","",IFERROR(IMAGE($B1082,4,60,60),""))</f>
        <v/>
      </c>
      <c r="T1082" s="68" t="n"/>
      <c r="V1082" s="32">
        <f>IF($M1082="","",IF($M1082=0,"Out of stock",IF(OR($P1082="",$Q1082=""),"No window",IF(YEAR(TODAY())&lt;$P1082,"Too young",IF(YEAR(TODAY())&gt;$Q1082,"Past peak",IF(YEAR(TODAY())=$Q1082,"Drink now","Ready"))))))</f>
        <v/>
      </c>
    </row>
    <row r="1083">
      <c r="A1083" s="32">
        <f>IF($B1083="","",IFERROR(IMAGE($B1083,4,60,60),""))</f>
        <v/>
      </c>
      <c r="T1083" s="68" t="n"/>
      <c r="V1083" s="32">
        <f>IF($M1083="","",IF($M1083=0,"Out of stock",IF(OR($P1083="",$Q1083=""),"No window",IF(YEAR(TODAY())&lt;$P1083,"Too young",IF(YEAR(TODAY())&gt;$Q1083,"Past peak",IF(YEAR(TODAY())=$Q1083,"Drink now","Ready"))))))</f>
        <v/>
      </c>
    </row>
    <row r="1084">
      <c r="A1084" s="32">
        <f>IF($B1084="","",IFERROR(IMAGE($B1084,4,60,60),""))</f>
        <v/>
      </c>
      <c r="T1084" s="68" t="n"/>
      <c r="V1084" s="32">
        <f>IF($M1084="","",IF($M1084=0,"Out of stock",IF(OR($P1084="",$Q1084=""),"No window",IF(YEAR(TODAY())&lt;$P1084,"Too young",IF(YEAR(TODAY())&gt;$Q1084,"Past peak",IF(YEAR(TODAY())=$Q1084,"Drink now","Ready"))))))</f>
        <v/>
      </c>
    </row>
    <row r="1085">
      <c r="A1085" s="32">
        <f>IF($B1085="","",IFERROR(IMAGE($B1085,4,60,60),""))</f>
        <v/>
      </c>
      <c r="T1085" s="68" t="n"/>
      <c r="V1085" s="32">
        <f>IF($M1085="","",IF($M1085=0,"Out of stock",IF(OR($P1085="",$Q1085=""),"No window",IF(YEAR(TODAY())&lt;$P1085,"Too young",IF(YEAR(TODAY())&gt;$Q1085,"Past peak",IF(YEAR(TODAY())=$Q1085,"Drink now","Ready"))))))</f>
        <v/>
      </c>
    </row>
    <row r="1086">
      <c r="A1086" s="32">
        <f>IF($B1086="","",IFERROR(IMAGE($B1086,4,60,60),""))</f>
        <v/>
      </c>
      <c r="T1086" s="68" t="n"/>
      <c r="V1086" s="32">
        <f>IF($M1086="","",IF($M1086=0,"Out of stock",IF(OR($P1086="",$Q1086=""),"No window",IF(YEAR(TODAY())&lt;$P1086,"Too young",IF(YEAR(TODAY())&gt;$Q1086,"Past peak",IF(YEAR(TODAY())=$Q1086,"Drink now","Ready"))))))</f>
        <v/>
      </c>
    </row>
    <row r="1087">
      <c r="A1087" s="32">
        <f>IF($B1087="","",IFERROR(IMAGE($B1087,4,60,60),""))</f>
        <v/>
      </c>
      <c r="T1087" s="68" t="n"/>
      <c r="V1087" s="32">
        <f>IF($M1087="","",IF($M1087=0,"Out of stock",IF(OR($P1087="",$Q1087=""),"No window",IF(YEAR(TODAY())&lt;$P1087,"Too young",IF(YEAR(TODAY())&gt;$Q1087,"Past peak",IF(YEAR(TODAY())=$Q1087,"Drink now","Ready"))))))</f>
        <v/>
      </c>
    </row>
    <row r="1088">
      <c r="A1088" s="32">
        <f>IF($B1088="","",IFERROR(IMAGE($B1088,4,60,60),""))</f>
        <v/>
      </c>
      <c r="T1088" s="68" t="n"/>
      <c r="V1088" s="32">
        <f>IF($M1088="","",IF($M1088=0,"Out of stock",IF(OR($P1088="",$Q1088=""),"No window",IF(YEAR(TODAY())&lt;$P1088,"Too young",IF(YEAR(TODAY())&gt;$Q1088,"Past peak",IF(YEAR(TODAY())=$Q1088,"Drink now","Ready"))))))</f>
        <v/>
      </c>
    </row>
    <row r="1089">
      <c r="A1089" s="32">
        <f>IF($B1089="","",IFERROR(IMAGE($B1089,4,60,60),""))</f>
        <v/>
      </c>
      <c r="T1089" s="68" t="n"/>
      <c r="V1089" s="32">
        <f>IF($M1089="","",IF($M1089=0,"Out of stock",IF(OR($P1089="",$Q1089=""),"No window",IF(YEAR(TODAY())&lt;$P1089,"Too young",IF(YEAR(TODAY())&gt;$Q1089,"Past peak",IF(YEAR(TODAY())=$Q1089,"Drink now","Ready"))))))</f>
        <v/>
      </c>
    </row>
    <row r="1090">
      <c r="A1090" s="32">
        <f>IF($B1090="","",IFERROR(IMAGE($B1090,4,60,60),""))</f>
        <v/>
      </c>
      <c r="T1090" s="68" t="n"/>
      <c r="V1090" s="32">
        <f>IF($M1090="","",IF($M1090=0,"Out of stock",IF(OR($P1090="",$Q1090=""),"No window",IF(YEAR(TODAY())&lt;$P1090,"Too young",IF(YEAR(TODAY())&gt;$Q1090,"Past peak",IF(YEAR(TODAY())=$Q1090,"Drink now","Ready"))))))</f>
        <v/>
      </c>
    </row>
    <row r="1091">
      <c r="A1091" s="32">
        <f>IF($B1091="","",IFERROR(IMAGE($B1091,4,60,60),""))</f>
        <v/>
      </c>
      <c r="T1091" s="68" t="n"/>
      <c r="V1091" s="32">
        <f>IF($M1091="","",IF($M1091=0,"Out of stock",IF(OR($P1091="",$Q1091=""),"No window",IF(YEAR(TODAY())&lt;$P1091,"Too young",IF(YEAR(TODAY())&gt;$Q1091,"Past peak",IF(YEAR(TODAY())=$Q1091,"Drink now","Ready"))))))</f>
        <v/>
      </c>
    </row>
    <row r="1092">
      <c r="A1092" s="32">
        <f>IF($B1092="","",IFERROR(IMAGE($B1092,4,60,60),""))</f>
        <v/>
      </c>
      <c r="T1092" s="68" t="n"/>
      <c r="V1092" s="32">
        <f>IF($M1092="","",IF($M1092=0,"Out of stock",IF(OR($P1092="",$Q1092=""),"No window",IF(YEAR(TODAY())&lt;$P1092,"Too young",IF(YEAR(TODAY())&gt;$Q1092,"Past peak",IF(YEAR(TODAY())=$Q1092,"Drink now","Ready"))))))</f>
        <v/>
      </c>
    </row>
    <row r="1093">
      <c r="A1093" s="32">
        <f>IF($B1093="","",IFERROR(IMAGE($B1093,4,60,60),""))</f>
        <v/>
      </c>
      <c r="T1093" s="68" t="n"/>
      <c r="V1093" s="32">
        <f>IF($M1093="","",IF($M1093=0,"Out of stock",IF(OR($P1093="",$Q1093=""),"No window",IF(YEAR(TODAY())&lt;$P1093,"Too young",IF(YEAR(TODAY())&gt;$Q1093,"Past peak",IF(YEAR(TODAY())=$Q1093,"Drink now","Ready"))))))</f>
        <v/>
      </c>
    </row>
    <row r="1094">
      <c r="A1094" s="32">
        <f>IF($B1094="","",IFERROR(IMAGE($B1094,4,60,60),""))</f>
        <v/>
      </c>
      <c r="T1094" s="68" t="n"/>
      <c r="V1094" s="32">
        <f>IF($M1094="","",IF($M1094=0,"Out of stock",IF(OR($P1094="",$Q1094=""),"No window",IF(YEAR(TODAY())&lt;$P1094,"Too young",IF(YEAR(TODAY())&gt;$Q1094,"Past peak",IF(YEAR(TODAY())=$Q1094,"Drink now","Ready"))))))</f>
        <v/>
      </c>
    </row>
    <row r="1095">
      <c r="A1095" s="32">
        <f>IF($B1095="","",IFERROR(IMAGE($B1095,4,60,60),""))</f>
        <v/>
      </c>
      <c r="T1095" s="68" t="n"/>
      <c r="V1095" s="32">
        <f>IF($M1095="","",IF($M1095=0,"Out of stock",IF(OR($P1095="",$Q1095=""),"No window",IF(YEAR(TODAY())&lt;$P1095,"Too young",IF(YEAR(TODAY())&gt;$Q1095,"Past peak",IF(YEAR(TODAY())=$Q1095,"Drink now","Ready"))))))</f>
        <v/>
      </c>
    </row>
    <row r="1096">
      <c r="A1096" s="32">
        <f>IF($B1096="","",IFERROR(IMAGE($B1096,4,60,60),""))</f>
        <v/>
      </c>
      <c r="T1096" s="68" t="n"/>
      <c r="V1096" s="32">
        <f>IF($M1096="","",IF($M1096=0,"Out of stock",IF(OR($P1096="",$Q1096=""),"No window",IF(YEAR(TODAY())&lt;$P1096,"Too young",IF(YEAR(TODAY())&gt;$Q1096,"Past peak",IF(YEAR(TODAY())=$Q1096,"Drink now","Ready"))))))</f>
        <v/>
      </c>
    </row>
    <row r="1097">
      <c r="A1097" s="32">
        <f>IF($B1097="","",IFERROR(IMAGE($B1097,4,60,60),""))</f>
        <v/>
      </c>
      <c r="T1097" s="68" t="n"/>
      <c r="V1097" s="32">
        <f>IF($M1097="","",IF($M1097=0,"Out of stock",IF(OR($P1097="",$Q1097=""),"No window",IF(YEAR(TODAY())&lt;$P1097,"Too young",IF(YEAR(TODAY())&gt;$Q1097,"Past peak",IF(YEAR(TODAY())=$Q1097,"Drink now","Ready"))))))</f>
        <v/>
      </c>
    </row>
    <row r="1098">
      <c r="A1098" s="32">
        <f>IF($B1098="","",IFERROR(IMAGE($B1098,4,60,60),""))</f>
        <v/>
      </c>
      <c r="T1098" s="68" t="n"/>
      <c r="V1098" s="32">
        <f>IF($M1098="","",IF($M1098=0,"Out of stock",IF(OR($P1098="",$Q1098=""),"No window",IF(YEAR(TODAY())&lt;$P1098,"Too young",IF(YEAR(TODAY())&gt;$Q1098,"Past peak",IF(YEAR(TODAY())=$Q1098,"Drink now","Ready"))))))</f>
        <v/>
      </c>
    </row>
    <row r="1099">
      <c r="A1099" s="32">
        <f>IF($B1099="","",IFERROR(IMAGE($B1099,4,60,60),""))</f>
        <v/>
      </c>
      <c r="T1099" s="68" t="n"/>
      <c r="V1099" s="32">
        <f>IF($M1099="","",IF($M1099=0,"Out of stock",IF(OR($P1099="",$Q1099=""),"No window",IF(YEAR(TODAY())&lt;$P1099,"Too young",IF(YEAR(TODAY())&gt;$Q1099,"Past peak",IF(YEAR(TODAY())=$Q1099,"Drink now","Ready"))))))</f>
        <v/>
      </c>
    </row>
    <row r="1100">
      <c r="A1100" s="32">
        <f>IF($B1100="","",IFERROR(IMAGE($B1100,4,60,60),""))</f>
        <v/>
      </c>
      <c r="T1100" s="68" t="n"/>
      <c r="V1100" s="32">
        <f>IF($M1100="","",IF($M1100=0,"Out of stock",IF(OR($P1100="",$Q1100=""),"No window",IF(YEAR(TODAY())&lt;$P1100,"Too young",IF(YEAR(TODAY())&gt;$Q1100,"Past peak",IF(YEAR(TODAY())=$Q1100,"Drink now","Ready"))))))</f>
        <v/>
      </c>
    </row>
    <row r="1101">
      <c r="A1101" s="32">
        <f>IF($B1101="","",IFERROR(IMAGE($B1101,4,60,60),""))</f>
        <v/>
      </c>
      <c r="T1101" s="68" t="n"/>
      <c r="V1101" s="32">
        <f>IF($M1101="","",IF($M1101=0,"Out of stock",IF(OR($P1101="",$Q1101=""),"No window",IF(YEAR(TODAY())&lt;$P1101,"Too young",IF(YEAR(TODAY())&gt;$Q1101,"Past peak",IF(YEAR(TODAY())=$Q1101,"Drink now","Ready"))))))</f>
        <v/>
      </c>
    </row>
    <row r="1102">
      <c r="A1102" s="32">
        <f>IF($B1102="","",IFERROR(IMAGE($B1102,4,60,60),""))</f>
        <v/>
      </c>
      <c r="T1102" s="68" t="n"/>
      <c r="V1102" s="32">
        <f>IF($M1102="","",IF($M1102=0,"Out of stock",IF(OR($P1102="",$Q1102=""),"No window",IF(YEAR(TODAY())&lt;$P1102,"Too young",IF(YEAR(TODAY())&gt;$Q1102,"Past peak",IF(YEAR(TODAY())=$Q1102,"Drink now","Ready"))))))</f>
        <v/>
      </c>
    </row>
    <row r="1103">
      <c r="A1103" s="32">
        <f>IF($B1103="","",IFERROR(IMAGE($B1103,4,60,60),""))</f>
        <v/>
      </c>
      <c r="T1103" s="68" t="n"/>
      <c r="V1103" s="32">
        <f>IF($M1103="","",IF($M1103=0,"Out of stock",IF(OR($P1103="",$Q1103=""),"No window",IF(YEAR(TODAY())&lt;$P1103,"Too young",IF(YEAR(TODAY())&gt;$Q1103,"Past peak",IF(YEAR(TODAY())=$Q1103,"Drink now","Ready"))))))</f>
        <v/>
      </c>
    </row>
    <row r="1104">
      <c r="A1104" s="32">
        <f>IF($B1104="","",IFERROR(IMAGE($B1104,4,60,60),""))</f>
        <v/>
      </c>
      <c r="T1104" s="68" t="n"/>
      <c r="V1104" s="32">
        <f>IF($M1104="","",IF($M1104=0,"Out of stock",IF(OR($P1104="",$Q1104=""),"No window",IF(YEAR(TODAY())&lt;$P1104,"Too young",IF(YEAR(TODAY())&gt;$Q1104,"Past peak",IF(YEAR(TODAY())=$Q1104,"Drink now","Ready"))))))</f>
        <v/>
      </c>
    </row>
    <row r="1105">
      <c r="A1105" s="32">
        <f>IF($B1105="","",IFERROR(IMAGE($B1105,4,60,60),""))</f>
        <v/>
      </c>
      <c r="T1105" s="68" t="n"/>
      <c r="V1105" s="32">
        <f>IF($M1105="","",IF($M1105=0,"Out of stock",IF(OR($P1105="",$Q1105=""),"No window",IF(YEAR(TODAY())&lt;$P1105,"Too young",IF(YEAR(TODAY())&gt;$Q1105,"Past peak",IF(YEAR(TODAY())=$Q1105,"Drink now","Ready"))))))</f>
        <v/>
      </c>
    </row>
    <row r="1106">
      <c r="A1106" s="32">
        <f>IF($B1106="","",IFERROR(IMAGE($B1106,4,60,60),""))</f>
        <v/>
      </c>
      <c r="T1106" s="68" t="n"/>
      <c r="V1106" s="32">
        <f>IF($M1106="","",IF($M1106=0,"Out of stock",IF(OR($P1106="",$Q1106=""),"No window",IF(YEAR(TODAY())&lt;$P1106,"Too young",IF(YEAR(TODAY())&gt;$Q1106,"Past peak",IF(YEAR(TODAY())=$Q1106,"Drink now","Ready"))))))</f>
        <v/>
      </c>
    </row>
    <row r="1107">
      <c r="A1107" s="32">
        <f>IF($B1107="","",IFERROR(IMAGE($B1107,4,60,60),""))</f>
        <v/>
      </c>
      <c r="T1107" s="68" t="n"/>
      <c r="V1107" s="32">
        <f>IF($M1107="","",IF($M1107=0,"Out of stock",IF(OR($P1107="",$Q1107=""),"No window",IF(YEAR(TODAY())&lt;$P1107,"Too young",IF(YEAR(TODAY())&gt;$Q1107,"Past peak",IF(YEAR(TODAY())=$Q1107,"Drink now","Ready"))))))</f>
        <v/>
      </c>
    </row>
    <row r="1108">
      <c r="A1108" s="32">
        <f>IF($B1108="","",IFERROR(IMAGE($B1108,4,60,60),""))</f>
        <v/>
      </c>
      <c r="T1108" s="68" t="n"/>
      <c r="V1108" s="32">
        <f>IF($M1108="","",IF($M1108=0,"Out of stock",IF(OR($P1108="",$Q1108=""),"No window",IF(YEAR(TODAY())&lt;$P1108,"Too young",IF(YEAR(TODAY())&gt;$Q1108,"Past peak",IF(YEAR(TODAY())=$Q1108,"Drink now","Ready"))))))</f>
        <v/>
      </c>
    </row>
    <row r="1109">
      <c r="A1109" s="32">
        <f>IF($B1109="","",IFERROR(IMAGE($B1109,4,60,60),""))</f>
        <v/>
      </c>
      <c r="T1109" s="68" t="n"/>
      <c r="V1109" s="32">
        <f>IF($M1109="","",IF($M1109=0,"Out of stock",IF(OR($P1109="",$Q1109=""),"No window",IF(YEAR(TODAY())&lt;$P1109,"Too young",IF(YEAR(TODAY())&gt;$Q1109,"Past peak",IF(YEAR(TODAY())=$Q1109,"Drink now","Ready"))))))</f>
        <v/>
      </c>
    </row>
    <row r="1110">
      <c r="A1110" s="32">
        <f>IF($B1110="","",IFERROR(IMAGE($B1110,4,60,60),""))</f>
        <v/>
      </c>
      <c r="T1110" s="68" t="n"/>
      <c r="V1110" s="32">
        <f>IF($M1110="","",IF($M1110=0,"Out of stock",IF(OR($P1110="",$Q1110=""),"No window",IF(YEAR(TODAY())&lt;$P1110,"Too young",IF(YEAR(TODAY())&gt;$Q1110,"Past peak",IF(YEAR(TODAY())=$Q1110,"Drink now","Ready"))))))</f>
        <v/>
      </c>
    </row>
    <row r="1111">
      <c r="A1111" s="32">
        <f>IF($B1111="","",IFERROR(IMAGE($B1111,4,60,60),""))</f>
        <v/>
      </c>
      <c r="T1111" s="68" t="n"/>
      <c r="V1111" s="32">
        <f>IF($M1111="","",IF($M1111=0,"Out of stock",IF(OR($P1111="",$Q1111=""),"No window",IF(YEAR(TODAY())&lt;$P1111,"Too young",IF(YEAR(TODAY())&gt;$Q1111,"Past peak",IF(YEAR(TODAY())=$Q1111,"Drink now","Ready"))))))</f>
        <v/>
      </c>
    </row>
    <row r="1112">
      <c r="A1112" s="32">
        <f>IF($B1112="","",IFERROR(IMAGE($B1112,4,60,60),""))</f>
        <v/>
      </c>
      <c r="T1112" s="68" t="n"/>
      <c r="V1112" s="32">
        <f>IF($M1112="","",IF($M1112=0,"Out of stock",IF(OR($P1112="",$Q1112=""),"No window",IF(YEAR(TODAY())&lt;$P1112,"Too young",IF(YEAR(TODAY())&gt;$Q1112,"Past peak",IF(YEAR(TODAY())=$Q1112,"Drink now","Ready"))))))</f>
        <v/>
      </c>
    </row>
    <row r="1113">
      <c r="A1113" s="32">
        <f>IF($B1113="","",IFERROR(IMAGE($B1113,4,60,60),""))</f>
        <v/>
      </c>
      <c r="T1113" s="68" t="n"/>
      <c r="V1113" s="32">
        <f>IF($M1113="","",IF($M1113=0,"Out of stock",IF(OR($P1113="",$Q1113=""),"No window",IF(YEAR(TODAY())&lt;$P1113,"Too young",IF(YEAR(TODAY())&gt;$Q1113,"Past peak",IF(YEAR(TODAY())=$Q1113,"Drink now","Ready"))))))</f>
        <v/>
      </c>
    </row>
    <row r="1114">
      <c r="A1114" s="32">
        <f>IF($B1114="","",IFERROR(IMAGE($B1114,4,60,60),""))</f>
        <v/>
      </c>
      <c r="T1114" s="68" t="n"/>
      <c r="V1114" s="32">
        <f>IF($M1114="","",IF($M1114=0,"Out of stock",IF(OR($P1114="",$Q1114=""),"No window",IF(YEAR(TODAY())&lt;$P1114,"Too young",IF(YEAR(TODAY())&gt;$Q1114,"Past peak",IF(YEAR(TODAY())=$Q1114,"Drink now","Ready"))))))</f>
        <v/>
      </c>
    </row>
    <row r="1115">
      <c r="A1115" s="32">
        <f>IF($B1115="","",IFERROR(IMAGE($B1115,4,60,60),""))</f>
        <v/>
      </c>
      <c r="T1115" s="68" t="n"/>
      <c r="V1115" s="32">
        <f>IF($M1115="","",IF($M1115=0,"Out of stock",IF(OR($P1115="",$Q1115=""),"No window",IF(YEAR(TODAY())&lt;$P1115,"Too young",IF(YEAR(TODAY())&gt;$Q1115,"Past peak",IF(YEAR(TODAY())=$Q1115,"Drink now","Ready"))))))</f>
        <v/>
      </c>
    </row>
    <row r="1116">
      <c r="A1116" s="32">
        <f>IF($B1116="","",IFERROR(IMAGE($B1116,4,60,60),""))</f>
        <v/>
      </c>
      <c r="T1116" s="68" t="n"/>
      <c r="V1116" s="32">
        <f>IF($M1116="","",IF($M1116=0,"Out of stock",IF(OR($P1116="",$Q1116=""),"No window",IF(YEAR(TODAY())&lt;$P1116,"Too young",IF(YEAR(TODAY())&gt;$Q1116,"Past peak",IF(YEAR(TODAY())=$Q1116,"Drink now","Ready"))))))</f>
        <v/>
      </c>
    </row>
    <row r="1117">
      <c r="A1117" s="32">
        <f>IF($B1117="","",IFERROR(IMAGE($B1117,4,60,60),""))</f>
        <v/>
      </c>
      <c r="T1117" s="68" t="n"/>
      <c r="V1117" s="32">
        <f>IF($M1117="","",IF($M1117=0,"Out of stock",IF(OR($P1117="",$Q1117=""),"No window",IF(YEAR(TODAY())&lt;$P1117,"Too young",IF(YEAR(TODAY())&gt;$Q1117,"Past peak",IF(YEAR(TODAY())=$Q1117,"Drink now","Ready"))))))</f>
        <v/>
      </c>
    </row>
    <row r="1118">
      <c r="A1118" s="32">
        <f>IF($B1118="","",IFERROR(IMAGE($B1118,4,60,60),""))</f>
        <v/>
      </c>
      <c r="T1118" s="68" t="n"/>
      <c r="V1118" s="32">
        <f>IF($M1118="","",IF($M1118=0,"Out of stock",IF(OR($P1118="",$Q1118=""),"No window",IF(YEAR(TODAY())&lt;$P1118,"Too young",IF(YEAR(TODAY())&gt;$Q1118,"Past peak",IF(YEAR(TODAY())=$Q1118,"Drink now","Ready"))))))</f>
        <v/>
      </c>
    </row>
    <row r="1119">
      <c r="A1119" s="32">
        <f>IF($B1119="","",IFERROR(IMAGE($B1119,4,60,60),""))</f>
        <v/>
      </c>
      <c r="T1119" s="68" t="n"/>
      <c r="V1119" s="32">
        <f>IF($M1119="","",IF($M1119=0,"Out of stock",IF(OR($P1119="",$Q1119=""),"No window",IF(YEAR(TODAY())&lt;$P1119,"Too young",IF(YEAR(TODAY())&gt;$Q1119,"Past peak",IF(YEAR(TODAY())=$Q1119,"Drink now","Ready"))))))</f>
        <v/>
      </c>
    </row>
    <row r="1120">
      <c r="A1120" s="32">
        <f>IF($B1120="","",IFERROR(IMAGE($B1120,4,60,60),""))</f>
        <v/>
      </c>
      <c r="T1120" s="68" t="n"/>
      <c r="V1120" s="32">
        <f>IF($M1120="","",IF($M1120=0,"Out of stock",IF(OR($P1120="",$Q1120=""),"No window",IF(YEAR(TODAY())&lt;$P1120,"Too young",IF(YEAR(TODAY())&gt;$Q1120,"Past peak",IF(YEAR(TODAY())=$Q1120,"Drink now","Ready"))))))</f>
        <v/>
      </c>
    </row>
    <row r="1121">
      <c r="A1121" s="32">
        <f>IF($B1121="","",IFERROR(IMAGE($B1121,4,60,60),""))</f>
        <v/>
      </c>
      <c r="T1121" s="68" t="n"/>
      <c r="V1121" s="32">
        <f>IF($M1121="","",IF($M1121=0,"Out of stock",IF(OR($P1121="",$Q1121=""),"No window",IF(YEAR(TODAY())&lt;$P1121,"Too young",IF(YEAR(TODAY())&gt;$Q1121,"Past peak",IF(YEAR(TODAY())=$Q1121,"Drink now","Ready"))))))</f>
        <v/>
      </c>
    </row>
    <row r="1122">
      <c r="A1122" s="32">
        <f>IF($B1122="","",IFERROR(IMAGE($B1122,4,60,60),""))</f>
        <v/>
      </c>
      <c r="T1122" s="68" t="n"/>
      <c r="V1122" s="32">
        <f>IF($M1122="","",IF($M1122=0,"Out of stock",IF(OR($P1122="",$Q1122=""),"No window",IF(YEAR(TODAY())&lt;$P1122,"Too young",IF(YEAR(TODAY())&gt;$Q1122,"Past peak",IF(YEAR(TODAY())=$Q1122,"Drink now","Ready"))))))</f>
        <v/>
      </c>
    </row>
    <row r="1123">
      <c r="A1123" s="32">
        <f>IF($B1123="","",IFERROR(IMAGE($B1123,4,60,60),""))</f>
        <v/>
      </c>
      <c r="T1123" s="68" t="n"/>
      <c r="V1123" s="32">
        <f>IF($M1123="","",IF($M1123=0,"Out of stock",IF(OR($P1123="",$Q1123=""),"No window",IF(YEAR(TODAY())&lt;$P1123,"Too young",IF(YEAR(TODAY())&gt;$Q1123,"Past peak",IF(YEAR(TODAY())=$Q1123,"Drink now","Ready"))))))</f>
        <v/>
      </c>
    </row>
    <row r="1124">
      <c r="A1124" s="32">
        <f>IF($B1124="","",IFERROR(IMAGE($B1124,4,60,60),""))</f>
        <v/>
      </c>
      <c r="T1124" s="68" t="n"/>
      <c r="V1124" s="32">
        <f>IF($M1124="","",IF($M1124=0,"Out of stock",IF(OR($P1124="",$Q1124=""),"No window",IF(YEAR(TODAY())&lt;$P1124,"Too young",IF(YEAR(TODAY())&gt;$Q1124,"Past peak",IF(YEAR(TODAY())=$Q1124,"Drink now","Ready"))))))</f>
        <v/>
      </c>
    </row>
    <row r="1125">
      <c r="A1125" s="32">
        <f>IF($B1125="","",IFERROR(IMAGE($B1125,4,60,60),""))</f>
        <v/>
      </c>
      <c r="T1125" s="68" t="n"/>
      <c r="V1125" s="32">
        <f>IF($M1125="","",IF($M1125=0,"Out of stock",IF(OR($P1125="",$Q1125=""),"No window",IF(YEAR(TODAY())&lt;$P1125,"Too young",IF(YEAR(TODAY())&gt;$Q1125,"Past peak",IF(YEAR(TODAY())=$Q1125,"Drink now","Ready"))))))</f>
        <v/>
      </c>
    </row>
    <row r="1126">
      <c r="A1126" s="32">
        <f>IF($B1126="","",IFERROR(IMAGE($B1126,4,60,60),""))</f>
        <v/>
      </c>
      <c r="T1126" s="68" t="n"/>
      <c r="V1126" s="32">
        <f>IF($M1126="","",IF($M1126=0,"Out of stock",IF(OR($P1126="",$Q1126=""),"No window",IF(YEAR(TODAY())&lt;$P1126,"Too young",IF(YEAR(TODAY())&gt;$Q1126,"Past peak",IF(YEAR(TODAY())=$Q1126,"Drink now","Ready"))))))</f>
        <v/>
      </c>
    </row>
    <row r="1127">
      <c r="A1127" s="32">
        <f>IF($B1127="","",IFERROR(IMAGE($B1127,4,60,60),""))</f>
        <v/>
      </c>
      <c r="T1127" s="68" t="n"/>
      <c r="V1127" s="32">
        <f>IF($M1127="","",IF($M1127=0,"Out of stock",IF(OR($P1127="",$Q1127=""),"No window",IF(YEAR(TODAY())&lt;$P1127,"Too young",IF(YEAR(TODAY())&gt;$Q1127,"Past peak",IF(YEAR(TODAY())=$Q1127,"Drink now","Ready"))))))</f>
        <v/>
      </c>
    </row>
    <row r="1128">
      <c r="A1128" s="32">
        <f>IF($B1128="","",IFERROR(IMAGE($B1128,4,60,60),""))</f>
        <v/>
      </c>
      <c r="T1128" s="68" t="n"/>
      <c r="V1128" s="32">
        <f>IF($M1128="","",IF($M1128=0,"Out of stock",IF(OR($P1128="",$Q1128=""),"No window",IF(YEAR(TODAY())&lt;$P1128,"Too young",IF(YEAR(TODAY())&gt;$Q1128,"Past peak",IF(YEAR(TODAY())=$Q1128,"Drink now","Ready"))))))</f>
        <v/>
      </c>
    </row>
    <row r="1129">
      <c r="A1129" s="32">
        <f>IF($B1129="","",IFERROR(IMAGE($B1129,4,60,60),""))</f>
        <v/>
      </c>
      <c r="T1129" s="68" t="n"/>
      <c r="V1129" s="32">
        <f>IF($M1129="","",IF($M1129=0,"Out of stock",IF(OR($P1129="",$Q1129=""),"No window",IF(YEAR(TODAY())&lt;$P1129,"Too young",IF(YEAR(TODAY())&gt;$Q1129,"Past peak",IF(YEAR(TODAY())=$Q1129,"Drink now","Ready"))))))</f>
        <v/>
      </c>
    </row>
    <row r="1130">
      <c r="A1130" s="32">
        <f>IF($B1130="","",IFERROR(IMAGE($B1130,4,60,60),""))</f>
        <v/>
      </c>
      <c r="T1130" s="68" t="n"/>
      <c r="V1130" s="32">
        <f>IF($M1130="","",IF($M1130=0,"Out of stock",IF(OR($P1130="",$Q1130=""),"No window",IF(YEAR(TODAY())&lt;$P1130,"Too young",IF(YEAR(TODAY())&gt;$Q1130,"Past peak",IF(YEAR(TODAY())=$Q1130,"Drink now","Ready"))))))</f>
        <v/>
      </c>
    </row>
    <row r="1131">
      <c r="A1131" s="32">
        <f>IF($B1131="","",IFERROR(IMAGE($B1131,4,60,60),""))</f>
        <v/>
      </c>
      <c r="T1131" s="68" t="n"/>
      <c r="V1131" s="32">
        <f>IF($M1131="","",IF($M1131=0,"Out of stock",IF(OR($P1131="",$Q1131=""),"No window",IF(YEAR(TODAY())&lt;$P1131,"Too young",IF(YEAR(TODAY())&gt;$Q1131,"Past peak",IF(YEAR(TODAY())=$Q1131,"Drink now","Ready"))))))</f>
        <v/>
      </c>
    </row>
    <row r="1132">
      <c r="A1132" s="32">
        <f>IF($B1132="","",IFERROR(IMAGE($B1132,4,60,60),""))</f>
        <v/>
      </c>
      <c r="T1132" s="68" t="n"/>
      <c r="V1132" s="32">
        <f>IF($M1132="","",IF($M1132=0,"Out of stock",IF(OR($P1132="",$Q1132=""),"No window",IF(YEAR(TODAY())&lt;$P1132,"Too young",IF(YEAR(TODAY())&gt;$Q1132,"Past peak",IF(YEAR(TODAY())=$Q1132,"Drink now","Ready"))))))</f>
        <v/>
      </c>
    </row>
    <row r="1133">
      <c r="A1133" s="32">
        <f>IF($B1133="","",IFERROR(IMAGE($B1133,4,60,60),""))</f>
        <v/>
      </c>
      <c r="T1133" s="68" t="n"/>
      <c r="V1133" s="32">
        <f>IF($M1133="","",IF($M1133=0,"Out of stock",IF(OR($P1133="",$Q1133=""),"No window",IF(YEAR(TODAY())&lt;$P1133,"Too young",IF(YEAR(TODAY())&gt;$Q1133,"Past peak",IF(YEAR(TODAY())=$Q1133,"Drink now","Ready"))))))</f>
        <v/>
      </c>
    </row>
    <row r="1134">
      <c r="A1134" s="32">
        <f>IF($B1134="","",IFERROR(IMAGE($B1134,4,60,60),""))</f>
        <v/>
      </c>
      <c r="T1134" s="68" t="n"/>
      <c r="V1134" s="32">
        <f>IF($M1134="","",IF($M1134=0,"Out of stock",IF(OR($P1134="",$Q1134=""),"No window",IF(YEAR(TODAY())&lt;$P1134,"Too young",IF(YEAR(TODAY())&gt;$Q1134,"Past peak",IF(YEAR(TODAY())=$Q1134,"Drink now","Ready"))))))</f>
        <v/>
      </c>
    </row>
    <row r="1135">
      <c r="A1135" s="32">
        <f>IF($B1135="","",IFERROR(IMAGE($B1135,4,60,60),""))</f>
        <v/>
      </c>
      <c r="T1135" s="68" t="n"/>
      <c r="V1135" s="32">
        <f>IF($M1135="","",IF($M1135=0,"Out of stock",IF(OR($P1135="",$Q1135=""),"No window",IF(YEAR(TODAY())&lt;$P1135,"Too young",IF(YEAR(TODAY())&gt;$Q1135,"Past peak",IF(YEAR(TODAY())=$Q1135,"Drink now","Ready"))))))</f>
        <v/>
      </c>
    </row>
    <row r="1136">
      <c r="A1136" s="32">
        <f>IF($B1136="","",IFERROR(IMAGE($B1136,4,60,60),""))</f>
        <v/>
      </c>
      <c r="T1136" s="68" t="n"/>
      <c r="V1136" s="32">
        <f>IF($M1136="","",IF($M1136=0,"Out of stock",IF(OR($P1136="",$Q1136=""),"No window",IF(YEAR(TODAY())&lt;$P1136,"Too young",IF(YEAR(TODAY())&gt;$Q1136,"Past peak",IF(YEAR(TODAY())=$Q1136,"Drink now","Ready"))))))</f>
        <v/>
      </c>
    </row>
    <row r="1137">
      <c r="A1137" s="32">
        <f>IF($B1137="","",IFERROR(IMAGE($B1137,4,60,60),""))</f>
        <v/>
      </c>
      <c r="T1137" s="68" t="n"/>
      <c r="V1137" s="32">
        <f>IF($M1137="","",IF($M1137=0,"Out of stock",IF(OR($P1137="",$Q1137=""),"No window",IF(YEAR(TODAY())&lt;$P1137,"Too young",IF(YEAR(TODAY())&gt;$Q1137,"Past peak",IF(YEAR(TODAY())=$Q1137,"Drink now","Ready"))))))</f>
        <v/>
      </c>
    </row>
    <row r="1138">
      <c r="A1138" s="32">
        <f>IF($B1138="","",IFERROR(IMAGE($B1138,4,60,60),""))</f>
        <v/>
      </c>
      <c r="T1138" s="68" t="n"/>
      <c r="V1138" s="32">
        <f>IF($M1138="","",IF($M1138=0,"Out of stock",IF(OR($P1138="",$Q1138=""),"No window",IF(YEAR(TODAY())&lt;$P1138,"Too young",IF(YEAR(TODAY())&gt;$Q1138,"Past peak",IF(YEAR(TODAY())=$Q1138,"Drink now","Ready"))))))</f>
        <v/>
      </c>
    </row>
    <row r="1139">
      <c r="A1139" s="32">
        <f>IF($B1139="","",IFERROR(IMAGE($B1139,4,60,60),""))</f>
        <v/>
      </c>
      <c r="T1139" s="68" t="n"/>
      <c r="V1139" s="32">
        <f>IF($M1139="","",IF($M1139=0,"Out of stock",IF(OR($P1139="",$Q1139=""),"No window",IF(YEAR(TODAY())&lt;$P1139,"Too young",IF(YEAR(TODAY())&gt;$Q1139,"Past peak",IF(YEAR(TODAY())=$Q1139,"Drink now","Ready"))))))</f>
        <v/>
      </c>
    </row>
    <row r="1140">
      <c r="A1140" s="32">
        <f>IF($B1140="","",IFERROR(IMAGE($B1140,4,60,60),""))</f>
        <v/>
      </c>
      <c r="T1140" s="68" t="n"/>
      <c r="V1140" s="32">
        <f>IF($M1140="","",IF($M1140=0,"Out of stock",IF(OR($P1140="",$Q1140=""),"No window",IF(YEAR(TODAY())&lt;$P1140,"Too young",IF(YEAR(TODAY())&gt;$Q1140,"Past peak",IF(YEAR(TODAY())=$Q1140,"Drink now","Ready"))))))</f>
        <v/>
      </c>
    </row>
    <row r="1141">
      <c r="A1141" s="32">
        <f>IF($B1141="","",IFERROR(IMAGE($B1141,4,60,60),""))</f>
        <v/>
      </c>
      <c r="T1141" s="68" t="n"/>
      <c r="V1141" s="32">
        <f>IF($M1141="","",IF($M1141=0,"Out of stock",IF(OR($P1141="",$Q1141=""),"No window",IF(YEAR(TODAY())&lt;$P1141,"Too young",IF(YEAR(TODAY())&gt;$Q1141,"Past peak",IF(YEAR(TODAY())=$Q1141,"Drink now","Ready"))))))</f>
        <v/>
      </c>
    </row>
    <row r="1142">
      <c r="A1142" s="32">
        <f>IF($B1142="","",IFERROR(IMAGE($B1142,4,60,60),""))</f>
        <v/>
      </c>
      <c r="T1142" s="68" t="n"/>
      <c r="V1142" s="32">
        <f>IF($M1142="","",IF($M1142=0,"Out of stock",IF(OR($P1142="",$Q1142=""),"No window",IF(YEAR(TODAY())&lt;$P1142,"Too young",IF(YEAR(TODAY())&gt;$Q1142,"Past peak",IF(YEAR(TODAY())=$Q1142,"Drink now","Ready"))))))</f>
        <v/>
      </c>
    </row>
    <row r="1143">
      <c r="A1143" s="32">
        <f>IF($B1143="","",IFERROR(IMAGE($B1143,4,60,60),""))</f>
        <v/>
      </c>
      <c r="T1143" s="68" t="n"/>
      <c r="V1143" s="32">
        <f>IF($M1143="","",IF($M1143=0,"Out of stock",IF(OR($P1143="",$Q1143=""),"No window",IF(YEAR(TODAY())&lt;$P1143,"Too young",IF(YEAR(TODAY())&gt;$Q1143,"Past peak",IF(YEAR(TODAY())=$Q1143,"Drink now","Ready"))))))</f>
        <v/>
      </c>
    </row>
    <row r="1144">
      <c r="A1144" s="32">
        <f>IF($B1144="","",IFERROR(IMAGE($B1144,4,60,60),""))</f>
        <v/>
      </c>
      <c r="T1144" s="68" t="n"/>
      <c r="V1144" s="32">
        <f>IF($M1144="","",IF($M1144=0,"Out of stock",IF(OR($P1144="",$Q1144=""),"No window",IF(YEAR(TODAY())&lt;$P1144,"Too young",IF(YEAR(TODAY())&gt;$Q1144,"Past peak",IF(YEAR(TODAY())=$Q1144,"Drink now","Ready"))))))</f>
        <v/>
      </c>
    </row>
    <row r="1145">
      <c r="A1145" s="32">
        <f>IF($B1145="","",IFERROR(IMAGE($B1145,4,60,60),""))</f>
        <v/>
      </c>
      <c r="T1145" s="68" t="n"/>
      <c r="V1145" s="32">
        <f>IF($M1145="","",IF($M1145=0,"Out of stock",IF(OR($P1145="",$Q1145=""),"No window",IF(YEAR(TODAY())&lt;$P1145,"Too young",IF(YEAR(TODAY())&gt;$Q1145,"Past peak",IF(YEAR(TODAY())=$Q1145,"Drink now","Ready"))))))</f>
        <v/>
      </c>
    </row>
    <row r="1146">
      <c r="A1146" s="32">
        <f>IF($B1146="","",IFERROR(IMAGE($B1146,4,60,60),""))</f>
        <v/>
      </c>
      <c r="T1146" s="68" t="n"/>
      <c r="V1146" s="32">
        <f>IF($M1146="","",IF($M1146=0,"Out of stock",IF(OR($P1146="",$Q1146=""),"No window",IF(YEAR(TODAY())&lt;$P1146,"Too young",IF(YEAR(TODAY())&gt;$Q1146,"Past peak",IF(YEAR(TODAY())=$Q1146,"Drink now","Ready"))))))</f>
        <v/>
      </c>
    </row>
    <row r="1147">
      <c r="A1147" s="32">
        <f>IF($B1147="","",IFERROR(IMAGE($B1147,4,60,60),""))</f>
        <v/>
      </c>
      <c r="T1147" s="68" t="n"/>
      <c r="V1147" s="32">
        <f>IF($M1147="","",IF($M1147=0,"Out of stock",IF(OR($P1147="",$Q1147=""),"No window",IF(YEAR(TODAY())&lt;$P1147,"Too young",IF(YEAR(TODAY())&gt;$Q1147,"Past peak",IF(YEAR(TODAY())=$Q1147,"Drink now","Ready"))))))</f>
        <v/>
      </c>
    </row>
    <row r="1148">
      <c r="A1148" s="32">
        <f>IF($B1148="","",IFERROR(IMAGE($B1148,4,60,60),""))</f>
        <v/>
      </c>
      <c r="T1148" s="68" t="n"/>
      <c r="V1148" s="32">
        <f>IF($M1148="","",IF($M1148=0,"Out of stock",IF(OR($P1148="",$Q1148=""),"No window",IF(YEAR(TODAY())&lt;$P1148,"Too young",IF(YEAR(TODAY())&gt;$Q1148,"Past peak",IF(YEAR(TODAY())=$Q1148,"Drink now","Ready"))))))</f>
        <v/>
      </c>
    </row>
    <row r="1149">
      <c r="A1149" s="32">
        <f>IF($B1149="","",IFERROR(IMAGE($B1149,4,60,60),""))</f>
        <v/>
      </c>
      <c r="T1149" s="68" t="n"/>
      <c r="V1149" s="32">
        <f>IF($M1149="","",IF($M1149=0,"Out of stock",IF(OR($P1149="",$Q1149=""),"No window",IF(YEAR(TODAY())&lt;$P1149,"Too young",IF(YEAR(TODAY())&gt;$Q1149,"Past peak",IF(YEAR(TODAY())=$Q1149,"Drink now","Ready"))))))</f>
        <v/>
      </c>
    </row>
    <row r="1150">
      <c r="A1150" s="32">
        <f>IF($B1150="","",IFERROR(IMAGE($B1150,4,60,60),""))</f>
        <v/>
      </c>
      <c r="T1150" s="68" t="n"/>
      <c r="V1150" s="32">
        <f>IF($M1150="","",IF($M1150=0,"Out of stock",IF(OR($P1150="",$Q1150=""),"No window",IF(YEAR(TODAY())&lt;$P1150,"Too young",IF(YEAR(TODAY())&gt;$Q1150,"Past peak",IF(YEAR(TODAY())=$Q1150,"Drink now","Ready"))))))</f>
        <v/>
      </c>
    </row>
    <row r="1151">
      <c r="A1151" s="32">
        <f>IF($B1151="","",IFERROR(IMAGE($B1151,4,60,60),""))</f>
        <v/>
      </c>
      <c r="T1151" s="68" t="n"/>
      <c r="V1151" s="32">
        <f>IF($M1151="","",IF($M1151=0,"Out of stock",IF(OR($P1151="",$Q1151=""),"No window",IF(YEAR(TODAY())&lt;$P1151,"Too young",IF(YEAR(TODAY())&gt;$Q1151,"Past peak",IF(YEAR(TODAY())=$Q1151,"Drink now","Ready"))))))</f>
        <v/>
      </c>
    </row>
    <row r="1152">
      <c r="A1152" s="32">
        <f>IF($B1152="","",IFERROR(IMAGE($B1152,4,60,60),""))</f>
        <v/>
      </c>
      <c r="T1152" s="68" t="n"/>
      <c r="V1152" s="32">
        <f>IF($M1152="","",IF($M1152=0,"Out of stock",IF(OR($P1152="",$Q1152=""),"No window",IF(YEAR(TODAY())&lt;$P1152,"Too young",IF(YEAR(TODAY())&gt;$Q1152,"Past peak",IF(YEAR(TODAY())=$Q1152,"Drink now","Ready"))))))</f>
        <v/>
      </c>
    </row>
    <row r="1153">
      <c r="A1153" s="32">
        <f>IF($B1153="","",IFERROR(IMAGE($B1153,4,60,60),""))</f>
        <v/>
      </c>
      <c r="T1153" s="68" t="n"/>
      <c r="V1153" s="32">
        <f>IF($M1153="","",IF($M1153=0,"Out of stock",IF(OR($P1153="",$Q1153=""),"No window",IF(YEAR(TODAY())&lt;$P1153,"Too young",IF(YEAR(TODAY())&gt;$Q1153,"Past peak",IF(YEAR(TODAY())=$Q1153,"Drink now","Ready"))))))</f>
        <v/>
      </c>
    </row>
    <row r="1154">
      <c r="A1154" s="32">
        <f>IF($B1154="","",IFERROR(IMAGE($B1154,4,60,60),""))</f>
        <v/>
      </c>
      <c r="T1154" s="68" t="n"/>
      <c r="V1154" s="32">
        <f>IF($M1154="","",IF($M1154=0,"Out of stock",IF(OR($P1154="",$Q1154=""),"No window",IF(YEAR(TODAY())&lt;$P1154,"Too young",IF(YEAR(TODAY())&gt;$Q1154,"Past peak",IF(YEAR(TODAY())=$Q1154,"Drink now","Ready"))))))</f>
        <v/>
      </c>
    </row>
    <row r="1155">
      <c r="A1155" s="32">
        <f>IF($B1155="","",IFERROR(IMAGE($B1155,4,60,60),""))</f>
        <v/>
      </c>
      <c r="T1155" s="68" t="n"/>
      <c r="V1155" s="32">
        <f>IF($M1155="","",IF($M1155=0,"Out of stock",IF(OR($P1155="",$Q1155=""),"No window",IF(YEAR(TODAY())&lt;$P1155,"Too young",IF(YEAR(TODAY())&gt;$Q1155,"Past peak",IF(YEAR(TODAY())=$Q1155,"Drink now","Ready"))))))</f>
        <v/>
      </c>
    </row>
    <row r="1156">
      <c r="A1156" s="32">
        <f>IF($B1156="","",IFERROR(IMAGE($B1156,4,60,60),""))</f>
        <v/>
      </c>
      <c r="T1156" s="68" t="n"/>
      <c r="V1156" s="32">
        <f>IF($M1156="","",IF($M1156=0,"Out of stock",IF(OR($P1156="",$Q1156=""),"No window",IF(YEAR(TODAY())&lt;$P1156,"Too young",IF(YEAR(TODAY())&gt;$Q1156,"Past peak",IF(YEAR(TODAY())=$Q1156,"Drink now","Ready"))))))</f>
        <v/>
      </c>
    </row>
    <row r="1157">
      <c r="A1157" s="32">
        <f>IF($B1157="","",IFERROR(IMAGE($B1157,4,60,60),""))</f>
        <v/>
      </c>
      <c r="T1157" s="68" t="n"/>
      <c r="V1157" s="32">
        <f>IF($M1157="","",IF($M1157=0,"Out of stock",IF(OR($P1157="",$Q1157=""),"No window",IF(YEAR(TODAY())&lt;$P1157,"Too young",IF(YEAR(TODAY())&gt;$Q1157,"Past peak",IF(YEAR(TODAY())=$Q1157,"Drink now","Ready"))))))</f>
        <v/>
      </c>
    </row>
    <row r="1158">
      <c r="A1158" s="32">
        <f>IF($B1158="","",IFERROR(IMAGE($B1158,4,60,60),""))</f>
        <v/>
      </c>
      <c r="T1158" s="68" t="n"/>
      <c r="V1158" s="32">
        <f>IF($M1158="","",IF($M1158=0,"Out of stock",IF(OR($P1158="",$Q1158=""),"No window",IF(YEAR(TODAY())&lt;$P1158,"Too young",IF(YEAR(TODAY())&gt;$Q1158,"Past peak",IF(YEAR(TODAY())=$Q1158,"Drink now","Ready"))))))</f>
        <v/>
      </c>
    </row>
    <row r="1159">
      <c r="A1159" s="32">
        <f>IF($B1159="","",IFERROR(IMAGE($B1159,4,60,60),""))</f>
        <v/>
      </c>
      <c r="T1159" s="68" t="n"/>
      <c r="V1159" s="32">
        <f>IF($M1159="","",IF($M1159=0,"Out of stock",IF(OR($P1159="",$Q1159=""),"No window",IF(YEAR(TODAY())&lt;$P1159,"Too young",IF(YEAR(TODAY())&gt;$Q1159,"Past peak",IF(YEAR(TODAY())=$Q1159,"Drink now","Ready"))))))</f>
        <v/>
      </c>
    </row>
    <row r="1160">
      <c r="A1160" s="32">
        <f>IF($B1160="","",IFERROR(IMAGE($B1160,4,60,60),""))</f>
        <v/>
      </c>
      <c r="T1160" s="68" t="n"/>
      <c r="V1160" s="32">
        <f>IF($M1160="","",IF($M1160=0,"Out of stock",IF(OR($P1160="",$Q1160=""),"No window",IF(YEAR(TODAY())&lt;$P1160,"Too young",IF(YEAR(TODAY())&gt;$Q1160,"Past peak",IF(YEAR(TODAY())=$Q1160,"Drink now","Ready"))))))</f>
        <v/>
      </c>
    </row>
    <row r="1161">
      <c r="A1161" s="32">
        <f>IF($B1161="","",IFERROR(IMAGE($B1161,4,60,60),""))</f>
        <v/>
      </c>
      <c r="T1161" s="68" t="n"/>
      <c r="V1161" s="32">
        <f>IF($M1161="","",IF($M1161=0,"Out of stock",IF(OR($P1161="",$Q1161=""),"No window",IF(YEAR(TODAY())&lt;$P1161,"Too young",IF(YEAR(TODAY())&gt;$Q1161,"Past peak",IF(YEAR(TODAY())=$Q1161,"Drink now","Ready"))))))</f>
        <v/>
      </c>
    </row>
    <row r="1162">
      <c r="A1162" s="32">
        <f>IF($B1162="","",IFERROR(IMAGE($B1162,4,60,60),""))</f>
        <v/>
      </c>
      <c r="T1162" s="68" t="n"/>
      <c r="V1162" s="32">
        <f>IF($M1162="","",IF($M1162=0,"Out of stock",IF(OR($P1162="",$Q1162=""),"No window",IF(YEAR(TODAY())&lt;$P1162,"Too young",IF(YEAR(TODAY())&gt;$Q1162,"Past peak",IF(YEAR(TODAY())=$Q1162,"Drink now","Ready"))))))</f>
        <v/>
      </c>
    </row>
    <row r="1163">
      <c r="A1163" s="32">
        <f>IF($B1163="","",IFERROR(IMAGE($B1163,4,60,60),""))</f>
        <v/>
      </c>
      <c r="T1163" s="68" t="n"/>
      <c r="V1163" s="32">
        <f>IF($M1163="","",IF($M1163=0,"Out of stock",IF(OR($P1163="",$Q1163=""),"No window",IF(YEAR(TODAY())&lt;$P1163,"Too young",IF(YEAR(TODAY())&gt;$Q1163,"Past peak",IF(YEAR(TODAY())=$Q1163,"Drink now","Ready"))))))</f>
        <v/>
      </c>
    </row>
    <row r="1164">
      <c r="A1164" s="32">
        <f>IF($B1164="","",IFERROR(IMAGE($B1164,4,60,60),""))</f>
        <v/>
      </c>
      <c r="T1164" s="68" t="n"/>
      <c r="V1164" s="32">
        <f>IF($M1164="","",IF($M1164=0,"Out of stock",IF(OR($P1164="",$Q1164=""),"No window",IF(YEAR(TODAY())&lt;$P1164,"Too young",IF(YEAR(TODAY())&gt;$Q1164,"Past peak",IF(YEAR(TODAY())=$Q1164,"Drink now","Ready"))))))</f>
        <v/>
      </c>
    </row>
    <row r="1165">
      <c r="A1165" s="32">
        <f>IF($B1165="","",IFERROR(IMAGE($B1165,4,60,60),""))</f>
        <v/>
      </c>
      <c r="T1165" s="68" t="n"/>
      <c r="V1165" s="32">
        <f>IF($M1165="","",IF($M1165=0,"Out of stock",IF(OR($P1165="",$Q1165=""),"No window",IF(YEAR(TODAY())&lt;$P1165,"Too young",IF(YEAR(TODAY())&gt;$Q1165,"Past peak",IF(YEAR(TODAY())=$Q1165,"Drink now","Ready"))))))</f>
        <v/>
      </c>
    </row>
    <row r="1166">
      <c r="A1166" s="32">
        <f>IF($B1166="","",IFERROR(IMAGE($B1166,4,60,60),""))</f>
        <v/>
      </c>
      <c r="T1166" s="68" t="n"/>
      <c r="V1166" s="32">
        <f>IF($M1166="","",IF($M1166=0,"Out of stock",IF(OR($P1166="",$Q1166=""),"No window",IF(YEAR(TODAY())&lt;$P1166,"Too young",IF(YEAR(TODAY())&gt;$Q1166,"Past peak",IF(YEAR(TODAY())=$Q1166,"Drink now","Ready"))))))</f>
        <v/>
      </c>
    </row>
    <row r="1167">
      <c r="A1167" s="32">
        <f>IF($B1167="","",IFERROR(IMAGE($B1167,4,60,60),""))</f>
        <v/>
      </c>
      <c r="T1167" s="68" t="n"/>
      <c r="V1167" s="32">
        <f>IF($M1167="","",IF($M1167=0,"Out of stock",IF(OR($P1167="",$Q1167=""),"No window",IF(YEAR(TODAY())&lt;$P1167,"Too young",IF(YEAR(TODAY())&gt;$Q1167,"Past peak",IF(YEAR(TODAY())=$Q1167,"Drink now","Ready"))))))</f>
        <v/>
      </c>
    </row>
    <row r="1168">
      <c r="A1168" s="32">
        <f>IF($B1168="","",IFERROR(IMAGE($B1168,4,60,60),""))</f>
        <v/>
      </c>
      <c r="T1168" s="68" t="n"/>
      <c r="V1168" s="32">
        <f>IF($M1168="","",IF($M1168=0,"Out of stock",IF(OR($P1168="",$Q1168=""),"No window",IF(YEAR(TODAY())&lt;$P1168,"Too young",IF(YEAR(TODAY())&gt;$Q1168,"Past peak",IF(YEAR(TODAY())=$Q1168,"Drink now","Ready"))))))</f>
        <v/>
      </c>
    </row>
    <row r="1169">
      <c r="A1169" s="32">
        <f>IF($B1169="","",IFERROR(IMAGE($B1169,4,60,60),""))</f>
        <v/>
      </c>
      <c r="T1169" s="68" t="n"/>
      <c r="V1169" s="32">
        <f>IF($M1169="","",IF($M1169=0,"Out of stock",IF(OR($P1169="",$Q1169=""),"No window",IF(YEAR(TODAY())&lt;$P1169,"Too young",IF(YEAR(TODAY())&gt;$Q1169,"Past peak",IF(YEAR(TODAY())=$Q1169,"Drink now","Ready"))))))</f>
        <v/>
      </c>
    </row>
    <row r="1170">
      <c r="A1170" s="32">
        <f>IF($B1170="","",IFERROR(IMAGE($B1170,4,60,60),""))</f>
        <v/>
      </c>
      <c r="T1170" s="68" t="n"/>
      <c r="V1170" s="32">
        <f>IF($M1170="","",IF($M1170=0,"Out of stock",IF(OR($P1170="",$Q1170=""),"No window",IF(YEAR(TODAY())&lt;$P1170,"Too young",IF(YEAR(TODAY())&gt;$Q1170,"Past peak",IF(YEAR(TODAY())=$Q1170,"Drink now","Ready"))))))</f>
        <v/>
      </c>
    </row>
    <row r="1171">
      <c r="A1171" s="32">
        <f>IF($B1171="","",IFERROR(IMAGE($B1171,4,60,60),""))</f>
        <v/>
      </c>
      <c r="T1171" s="68" t="n"/>
      <c r="V1171" s="32">
        <f>IF($M1171="","",IF($M1171=0,"Out of stock",IF(OR($P1171="",$Q1171=""),"No window",IF(YEAR(TODAY())&lt;$P1171,"Too young",IF(YEAR(TODAY())&gt;$Q1171,"Past peak",IF(YEAR(TODAY())=$Q1171,"Drink now","Ready"))))))</f>
        <v/>
      </c>
    </row>
    <row r="1172">
      <c r="A1172" s="32">
        <f>IF($B1172="","",IFERROR(IMAGE($B1172,4,60,60),""))</f>
        <v/>
      </c>
      <c r="T1172" s="68" t="n"/>
      <c r="V1172" s="32">
        <f>IF($M1172="","",IF($M1172=0,"Out of stock",IF(OR($P1172="",$Q1172=""),"No window",IF(YEAR(TODAY())&lt;$P1172,"Too young",IF(YEAR(TODAY())&gt;$Q1172,"Past peak",IF(YEAR(TODAY())=$Q1172,"Drink now","Ready"))))))</f>
        <v/>
      </c>
    </row>
    <row r="1173">
      <c r="A1173" s="32">
        <f>IF($B1173="","",IFERROR(IMAGE($B1173,4,60,60),""))</f>
        <v/>
      </c>
      <c r="T1173" s="68" t="n"/>
      <c r="V1173" s="32">
        <f>IF($M1173="","",IF($M1173=0,"Out of stock",IF(OR($P1173="",$Q1173=""),"No window",IF(YEAR(TODAY())&lt;$P1173,"Too young",IF(YEAR(TODAY())&gt;$Q1173,"Past peak",IF(YEAR(TODAY())=$Q1173,"Drink now","Ready"))))))</f>
        <v/>
      </c>
    </row>
    <row r="1174">
      <c r="A1174" s="32">
        <f>IF($B1174="","",IFERROR(IMAGE($B1174,4,60,60),""))</f>
        <v/>
      </c>
      <c r="T1174" s="68" t="n"/>
      <c r="V1174" s="32">
        <f>IF($M1174="","",IF($M1174=0,"Out of stock",IF(OR($P1174="",$Q1174=""),"No window",IF(YEAR(TODAY())&lt;$P1174,"Too young",IF(YEAR(TODAY())&gt;$Q1174,"Past peak",IF(YEAR(TODAY())=$Q1174,"Drink now","Ready"))))))</f>
        <v/>
      </c>
    </row>
    <row r="1175">
      <c r="A1175" s="32">
        <f>IF($B1175="","",IFERROR(IMAGE($B1175,4,60,60),""))</f>
        <v/>
      </c>
      <c r="T1175" s="68" t="n"/>
      <c r="V1175" s="32">
        <f>IF($M1175="","",IF($M1175=0,"Out of stock",IF(OR($P1175="",$Q1175=""),"No window",IF(YEAR(TODAY())&lt;$P1175,"Too young",IF(YEAR(TODAY())&gt;$Q1175,"Past peak",IF(YEAR(TODAY())=$Q1175,"Drink now","Ready"))))))</f>
        <v/>
      </c>
    </row>
    <row r="1176">
      <c r="A1176" s="32">
        <f>IF($B1176="","",IFERROR(IMAGE($B1176,4,60,60),""))</f>
        <v/>
      </c>
      <c r="T1176" s="68" t="n"/>
      <c r="V1176" s="32">
        <f>IF($M1176="","",IF($M1176=0,"Out of stock",IF(OR($P1176="",$Q1176=""),"No window",IF(YEAR(TODAY())&lt;$P1176,"Too young",IF(YEAR(TODAY())&gt;$Q1176,"Past peak",IF(YEAR(TODAY())=$Q1176,"Drink now","Ready"))))))</f>
        <v/>
      </c>
    </row>
    <row r="1177">
      <c r="A1177" s="32">
        <f>IF($B1177="","",IFERROR(IMAGE($B1177,4,60,60),""))</f>
        <v/>
      </c>
      <c r="T1177" s="68" t="n"/>
      <c r="V1177" s="32">
        <f>IF($M1177="","",IF($M1177=0,"Out of stock",IF(OR($P1177="",$Q1177=""),"No window",IF(YEAR(TODAY())&lt;$P1177,"Too young",IF(YEAR(TODAY())&gt;$Q1177,"Past peak",IF(YEAR(TODAY())=$Q1177,"Drink now","Ready"))))))</f>
        <v/>
      </c>
    </row>
    <row r="1178">
      <c r="A1178" s="32">
        <f>IF($B1178="","",IFERROR(IMAGE($B1178,4,60,60),""))</f>
        <v/>
      </c>
      <c r="T1178" s="68" t="n"/>
      <c r="V1178" s="32">
        <f>IF($M1178="","",IF($M1178=0,"Out of stock",IF(OR($P1178="",$Q1178=""),"No window",IF(YEAR(TODAY())&lt;$P1178,"Too young",IF(YEAR(TODAY())&gt;$Q1178,"Past peak",IF(YEAR(TODAY())=$Q1178,"Drink now","Ready"))))))</f>
        <v/>
      </c>
    </row>
    <row r="1179">
      <c r="A1179" s="32">
        <f>IF($B1179="","",IFERROR(IMAGE($B1179,4,60,60),""))</f>
        <v/>
      </c>
      <c r="T1179" s="68" t="n"/>
      <c r="V1179" s="32">
        <f>IF($M1179="","",IF($M1179=0,"Out of stock",IF(OR($P1179="",$Q1179=""),"No window",IF(YEAR(TODAY())&lt;$P1179,"Too young",IF(YEAR(TODAY())&gt;$Q1179,"Past peak",IF(YEAR(TODAY())=$Q1179,"Drink now","Ready"))))))</f>
        <v/>
      </c>
    </row>
    <row r="1180">
      <c r="A1180" s="32">
        <f>IF($B1180="","",IFERROR(IMAGE($B1180,4,60,60),""))</f>
        <v/>
      </c>
      <c r="T1180" s="68" t="n"/>
      <c r="V1180" s="32">
        <f>IF($M1180="","",IF($M1180=0,"Out of stock",IF(OR($P1180="",$Q1180=""),"No window",IF(YEAR(TODAY())&lt;$P1180,"Too young",IF(YEAR(TODAY())&gt;$Q1180,"Past peak",IF(YEAR(TODAY())=$Q1180,"Drink now","Ready"))))))</f>
        <v/>
      </c>
    </row>
    <row r="1181">
      <c r="A1181" s="32">
        <f>IF($B1181="","",IFERROR(IMAGE($B1181,4,60,60),""))</f>
        <v/>
      </c>
      <c r="T1181" s="68" t="n"/>
      <c r="V1181" s="32">
        <f>IF($M1181="","",IF($M1181=0,"Out of stock",IF(OR($P1181="",$Q1181=""),"No window",IF(YEAR(TODAY())&lt;$P1181,"Too young",IF(YEAR(TODAY())&gt;$Q1181,"Past peak",IF(YEAR(TODAY())=$Q1181,"Drink now","Ready"))))))</f>
        <v/>
      </c>
    </row>
    <row r="1182">
      <c r="A1182" s="32">
        <f>IF($B1182="","",IFERROR(IMAGE($B1182,4,60,60),""))</f>
        <v/>
      </c>
      <c r="T1182" s="68" t="n"/>
      <c r="V1182" s="32">
        <f>IF($M1182="","",IF($M1182=0,"Out of stock",IF(OR($P1182="",$Q1182=""),"No window",IF(YEAR(TODAY())&lt;$P1182,"Too young",IF(YEAR(TODAY())&gt;$Q1182,"Past peak",IF(YEAR(TODAY())=$Q1182,"Drink now","Ready"))))))</f>
        <v/>
      </c>
    </row>
    <row r="1183">
      <c r="A1183" s="32">
        <f>IF($B1183="","",IFERROR(IMAGE($B1183,4,60,60),""))</f>
        <v/>
      </c>
      <c r="T1183" s="68" t="n"/>
      <c r="V1183" s="32">
        <f>IF($M1183="","",IF($M1183=0,"Out of stock",IF(OR($P1183="",$Q1183=""),"No window",IF(YEAR(TODAY())&lt;$P1183,"Too young",IF(YEAR(TODAY())&gt;$Q1183,"Past peak",IF(YEAR(TODAY())=$Q1183,"Drink now","Ready"))))))</f>
        <v/>
      </c>
    </row>
    <row r="1184">
      <c r="A1184" s="32">
        <f>IF($B1184="","",IFERROR(IMAGE($B1184,4,60,60),""))</f>
        <v/>
      </c>
      <c r="T1184" s="68" t="n"/>
      <c r="V1184" s="32">
        <f>IF($M1184="","",IF($M1184=0,"Out of stock",IF(OR($P1184="",$Q1184=""),"No window",IF(YEAR(TODAY())&lt;$P1184,"Too young",IF(YEAR(TODAY())&gt;$Q1184,"Past peak",IF(YEAR(TODAY())=$Q1184,"Drink now","Ready"))))))</f>
        <v/>
      </c>
    </row>
    <row r="1185">
      <c r="A1185" s="32">
        <f>IF($B1185="","",IFERROR(IMAGE($B1185,4,60,60),""))</f>
        <v/>
      </c>
      <c r="T1185" s="68" t="n"/>
      <c r="V1185" s="32">
        <f>IF($M1185="","",IF($M1185=0,"Out of stock",IF(OR($P1185="",$Q1185=""),"No window",IF(YEAR(TODAY())&lt;$P1185,"Too young",IF(YEAR(TODAY())&gt;$Q1185,"Past peak",IF(YEAR(TODAY())=$Q1185,"Drink now","Ready"))))))</f>
        <v/>
      </c>
    </row>
    <row r="1186">
      <c r="A1186" s="32">
        <f>IF($B1186="","",IFERROR(IMAGE($B1186,4,60,60),""))</f>
        <v/>
      </c>
      <c r="T1186" s="68" t="n"/>
      <c r="V1186" s="32">
        <f>IF($M1186="","",IF($M1186=0,"Out of stock",IF(OR($P1186="",$Q1186=""),"No window",IF(YEAR(TODAY())&lt;$P1186,"Too young",IF(YEAR(TODAY())&gt;$Q1186,"Past peak",IF(YEAR(TODAY())=$Q1186,"Drink now","Ready"))))))</f>
        <v/>
      </c>
    </row>
    <row r="1187">
      <c r="A1187" s="32">
        <f>IF($B1187="","",IFERROR(IMAGE($B1187,4,60,60),""))</f>
        <v/>
      </c>
      <c r="T1187" s="68" t="n"/>
      <c r="V1187" s="32">
        <f>IF($M1187="","",IF($M1187=0,"Out of stock",IF(OR($P1187="",$Q1187=""),"No window",IF(YEAR(TODAY())&lt;$P1187,"Too young",IF(YEAR(TODAY())&gt;$Q1187,"Past peak",IF(YEAR(TODAY())=$Q1187,"Drink now","Ready"))))))</f>
        <v/>
      </c>
    </row>
    <row r="1188">
      <c r="A1188" s="32">
        <f>IF($B1188="","",IFERROR(IMAGE($B1188,4,60,60),""))</f>
        <v/>
      </c>
      <c r="T1188" s="68" t="n"/>
      <c r="V1188" s="32">
        <f>IF($M1188="","",IF($M1188=0,"Out of stock",IF(OR($P1188="",$Q1188=""),"No window",IF(YEAR(TODAY())&lt;$P1188,"Too young",IF(YEAR(TODAY())&gt;$Q1188,"Past peak",IF(YEAR(TODAY())=$Q1188,"Drink now","Ready"))))))</f>
        <v/>
      </c>
    </row>
    <row r="1189">
      <c r="A1189" s="32">
        <f>IF($B1189="","",IFERROR(IMAGE($B1189,4,60,60),""))</f>
        <v/>
      </c>
      <c r="T1189" s="68" t="n"/>
      <c r="V1189" s="32">
        <f>IF($M1189="","",IF($M1189=0,"Out of stock",IF(OR($P1189="",$Q1189=""),"No window",IF(YEAR(TODAY())&lt;$P1189,"Too young",IF(YEAR(TODAY())&gt;$Q1189,"Past peak",IF(YEAR(TODAY())=$Q1189,"Drink now","Ready"))))))</f>
        <v/>
      </c>
    </row>
    <row r="1190">
      <c r="A1190" s="32">
        <f>IF($B1190="","",IFERROR(IMAGE($B1190,4,60,60),""))</f>
        <v/>
      </c>
      <c r="T1190" s="68" t="n"/>
      <c r="V1190" s="32">
        <f>IF($M1190="","",IF($M1190=0,"Out of stock",IF(OR($P1190="",$Q1190=""),"No window",IF(YEAR(TODAY())&lt;$P1190,"Too young",IF(YEAR(TODAY())&gt;$Q1190,"Past peak",IF(YEAR(TODAY())=$Q1190,"Drink now","Ready"))))))</f>
        <v/>
      </c>
    </row>
    <row r="1191">
      <c r="A1191" s="32">
        <f>IF($B1191="","",IFERROR(IMAGE($B1191,4,60,60),""))</f>
        <v/>
      </c>
      <c r="T1191" s="68" t="n"/>
      <c r="V1191" s="32">
        <f>IF($M1191="","",IF($M1191=0,"Out of stock",IF(OR($P1191="",$Q1191=""),"No window",IF(YEAR(TODAY())&lt;$P1191,"Too young",IF(YEAR(TODAY())&gt;$Q1191,"Past peak",IF(YEAR(TODAY())=$Q1191,"Drink now","Ready"))))))</f>
        <v/>
      </c>
    </row>
    <row r="1192">
      <c r="A1192" s="32">
        <f>IF($B1192="","",IFERROR(IMAGE($B1192,4,60,60),""))</f>
        <v/>
      </c>
      <c r="T1192" s="68" t="n"/>
      <c r="V1192" s="32">
        <f>IF($M1192="","",IF($M1192=0,"Out of stock",IF(OR($P1192="",$Q1192=""),"No window",IF(YEAR(TODAY())&lt;$P1192,"Too young",IF(YEAR(TODAY())&gt;$Q1192,"Past peak",IF(YEAR(TODAY())=$Q1192,"Drink now","Ready"))))))</f>
        <v/>
      </c>
    </row>
    <row r="1193">
      <c r="A1193" s="32">
        <f>IF($B1193="","",IFERROR(IMAGE($B1193,4,60,60),""))</f>
        <v/>
      </c>
      <c r="T1193" s="68" t="n"/>
      <c r="V1193" s="32">
        <f>IF($M1193="","",IF($M1193=0,"Out of stock",IF(OR($P1193="",$Q1193=""),"No window",IF(YEAR(TODAY())&lt;$P1193,"Too young",IF(YEAR(TODAY())&gt;$Q1193,"Past peak",IF(YEAR(TODAY())=$Q1193,"Drink now","Ready"))))))</f>
        <v/>
      </c>
    </row>
    <row r="1194">
      <c r="A1194" s="32">
        <f>IF($B1194="","",IFERROR(IMAGE($B1194,4,60,60),""))</f>
        <v/>
      </c>
      <c r="T1194" s="68" t="n"/>
      <c r="V1194" s="32">
        <f>IF($M1194="","",IF($M1194=0,"Out of stock",IF(OR($P1194="",$Q1194=""),"No window",IF(YEAR(TODAY())&lt;$P1194,"Too young",IF(YEAR(TODAY())&gt;$Q1194,"Past peak",IF(YEAR(TODAY())=$Q1194,"Drink now","Ready"))))))</f>
        <v/>
      </c>
    </row>
    <row r="1195">
      <c r="A1195" s="32">
        <f>IF($B1195="","",IFERROR(IMAGE($B1195,4,60,60),""))</f>
        <v/>
      </c>
      <c r="T1195" s="68" t="n"/>
      <c r="V1195" s="32">
        <f>IF($M1195="","",IF($M1195=0,"Out of stock",IF(OR($P1195="",$Q1195=""),"No window",IF(YEAR(TODAY())&lt;$P1195,"Too young",IF(YEAR(TODAY())&gt;$Q1195,"Past peak",IF(YEAR(TODAY())=$Q1195,"Drink now","Ready"))))))</f>
        <v/>
      </c>
    </row>
    <row r="1196">
      <c r="A1196" s="32">
        <f>IF($B1196="","",IFERROR(IMAGE($B1196,4,60,60),""))</f>
        <v/>
      </c>
      <c r="T1196" s="68" t="n"/>
      <c r="V1196" s="32">
        <f>IF($M1196="","",IF($M1196=0,"Out of stock",IF(OR($P1196="",$Q1196=""),"No window",IF(YEAR(TODAY())&lt;$P1196,"Too young",IF(YEAR(TODAY())&gt;$Q1196,"Past peak",IF(YEAR(TODAY())=$Q1196,"Drink now","Ready"))))))</f>
        <v/>
      </c>
    </row>
    <row r="1197">
      <c r="A1197" s="32">
        <f>IF($B1197="","",IFERROR(IMAGE($B1197,4,60,60),""))</f>
        <v/>
      </c>
      <c r="T1197" s="68" t="n"/>
      <c r="V1197" s="32">
        <f>IF($M1197="","",IF($M1197=0,"Out of stock",IF(OR($P1197="",$Q1197=""),"No window",IF(YEAR(TODAY())&lt;$P1197,"Too young",IF(YEAR(TODAY())&gt;$Q1197,"Past peak",IF(YEAR(TODAY())=$Q1197,"Drink now","Ready"))))))</f>
        <v/>
      </c>
    </row>
    <row r="1198">
      <c r="A1198" s="32">
        <f>IF($B1198="","",IFERROR(IMAGE($B1198,4,60,60),""))</f>
        <v/>
      </c>
      <c r="T1198" s="68" t="n"/>
      <c r="V1198" s="32">
        <f>IF($M1198="","",IF($M1198=0,"Out of stock",IF(OR($P1198="",$Q1198=""),"No window",IF(YEAR(TODAY())&lt;$P1198,"Too young",IF(YEAR(TODAY())&gt;$Q1198,"Past peak",IF(YEAR(TODAY())=$Q1198,"Drink now","Ready"))))))</f>
        <v/>
      </c>
    </row>
    <row r="1199">
      <c r="A1199" s="32">
        <f>IF($B1199="","",IFERROR(IMAGE($B1199,4,60,60),""))</f>
        <v/>
      </c>
      <c r="T1199" s="68" t="n"/>
      <c r="V1199" s="32">
        <f>IF($M1199="","",IF($M1199=0,"Out of stock",IF(OR($P1199="",$Q1199=""),"No window",IF(YEAR(TODAY())&lt;$P1199,"Too young",IF(YEAR(TODAY())&gt;$Q1199,"Past peak",IF(YEAR(TODAY())=$Q1199,"Drink now","Ready"))))))</f>
        <v/>
      </c>
    </row>
    <row r="1200">
      <c r="A1200" s="32">
        <f>IF($B1200="","",IFERROR(IMAGE($B1200,4,60,60),""))</f>
        <v/>
      </c>
      <c r="T1200" s="68" t="n"/>
      <c r="V1200" s="32">
        <f>IF($M1200="","",IF($M1200=0,"Out of stock",IF(OR($P1200="",$Q1200=""),"No window",IF(YEAR(TODAY())&lt;$P1200,"Too young",IF(YEAR(TODAY())&gt;$Q1200,"Past peak",IF(YEAR(TODAY())=$Q1200,"Drink now","Ready"))))))</f>
        <v/>
      </c>
    </row>
    <row r="1201">
      <c r="A1201" s="32">
        <f>IF($B1201="","",IFERROR(IMAGE($B1201,4,60,60),""))</f>
        <v/>
      </c>
      <c r="T1201" s="68" t="n"/>
      <c r="V1201" s="32">
        <f>IF($M1201="","",IF($M1201=0,"Out of stock",IF(OR($P1201="",$Q1201=""),"No window",IF(YEAR(TODAY())&lt;$P1201,"Too young",IF(YEAR(TODAY())&gt;$Q1201,"Past peak",IF(YEAR(TODAY())=$Q1201,"Drink now","Ready"))))))</f>
        <v/>
      </c>
    </row>
    <row r="1202">
      <c r="A1202" s="32">
        <f>IF($B1202="","",IFERROR(IMAGE($B1202,4,60,60),""))</f>
        <v/>
      </c>
      <c r="T1202" s="68" t="n"/>
      <c r="V1202" s="32">
        <f>IF($M1202="","",IF($M1202=0,"Out of stock",IF(OR($P1202="",$Q1202=""),"No window",IF(YEAR(TODAY())&lt;$P1202,"Too young",IF(YEAR(TODAY())&gt;$Q1202,"Past peak",IF(YEAR(TODAY())=$Q1202,"Drink now","Ready"))))))</f>
        <v/>
      </c>
    </row>
    <row r="1203">
      <c r="A1203" s="32">
        <f>IF($B1203="","",IFERROR(IMAGE($B1203,4,60,60),""))</f>
        <v/>
      </c>
      <c r="T1203" s="68" t="n"/>
      <c r="V1203" s="32">
        <f>IF($M1203="","",IF($M1203=0,"Out of stock",IF(OR($P1203="",$Q1203=""),"No window",IF(YEAR(TODAY())&lt;$P1203,"Too young",IF(YEAR(TODAY())&gt;$Q1203,"Past peak",IF(YEAR(TODAY())=$Q1203,"Drink now","Ready"))))))</f>
        <v/>
      </c>
    </row>
    <row r="1204">
      <c r="A1204" s="32">
        <f>IF($B1204="","",IFERROR(IMAGE($B1204,4,60,60),""))</f>
        <v/>
      </c>
      <c r="T1204" s="68" t="n"/>
      <c r="V1204" s="32">
        <f>IF($M1204="","",IF($M1204=0,"Out of stock",IF(OR($P1204="",$Q1204=""),"No window",IF(YEAR(TODAY())&lt;$P1204,"Too young",IF(YEAR(TODAY())&gt;$Q1204,"Past peak",IF(YEAR(TODAY())=$Q1204,"Drink now","Ready"))))))</f>
        <v/>
      </c>
    </row>
    <row r="1205">
      <c r="A1205" s="32">
        <f>IF($B1205="","",IFERROR(IMAGE($B1205,4,60,60),""))</f>
        <v/>
      </c>
      <c r="T1205" s="68" t="n"/>
      <c r="V1205" s="32">
        <f>IF($M1205="","",IF($M1205=0,"Out of stock",IF(OR($P1205="",$Q1205=""),"No window",IF(YEAR(TODAY())&lt;$P1205,"Too young",IF(YEAR(TODAY())&gt;$Q1205,"Past peak",IF(YEAR(TODAY())=$Q1205,"Drink now","Ready"))))))</f>
        <v/>
      </c>
    </row>
    <row r="1206">
      <c r="A1206" s="32">
        <f>IF($B1206="","",IFERROR(IMAGE($B1206,4,60,60),""))</f>
        <v/>
      </c>
      <c r="T1206" s="68" t="n"/>
      <c r="V1206" s="32">
        <f>IF($M1206="","",IF($M1206=0,"Out of stock",IF(OR($P1206="",$Q1206=""),"No window",IF(YEAR(TODAY())&lt;$P1206,"Too young",IF(YEAR(TODAY())&gt;$Q1206,"Past peak",IF(YEAR(TODAY())=$Q1206,"Drink now","Ready"))))))</f>
        <v/>
      </c>
    </row>
    <row r="1207">
      <c r="A1207" s="32">
        <f>IF($B1207="","",IFERROR(IMAGE($B1207,4,60,60),""))</f>
        <v/>
      </c>
      <c r="T1207" s="68" t="n"/>
      <c r="V1207" s="32">
        <f>IF($M1207="","",IF($M1207=0,"Out of stock",IF(OR($P1207="",$Q1207=""),"No window",IF(YEAR(TODAY())&lt;$P1207,"Too young",IF(YEAR(TODAY())&gt;$Q1207,"Past peak",IF(YEAR(TODAY())=$Q1207,"Drink now","Ready"))))))</f>
        <v/>
      </c>
    </row>
    <row r="1208">
      <c r="A1208" s="32">
        <f>IF($B1208="","",IFERROR(IMAGE($B1208,4,60,60),""))</f>
        <v/>
      </c>
      <c r="T1208" s="68" t="n"/>
      <c r="V1208" s="32">
        <f>IF($M1208="","",IF($M1208=0,"Out of stock",IF(OR($P1208="",$Q1208=""),"No window",IF(YEAR(TODAY())&lt;$P1208,"Too young",IF(YEAR(TODAY())&gt;$Q1208,"Past peak",IF(YEAR(TODAY())=$Q1208,"Drink now","Ready"))))))</f>
        <v/>
      </c>
    </row>
    <row r="1209">
      <c r="A1209" s="32">
        <f>IF($B1209="","",IFERROR(IMAGE($B1209,4,60,60),""))</f>
        <v/>
      </c>
      <c r="T1209" s="68" t="n"/>
      <c r="V1209" s="32">
        <f>IF($M1209="","",IF($M1209=0,"Out of stock",IF(OR($P1209="",$Q1209=""),"No window",IF(YEAR(TODAY())&lt;$P1209,"Too young",IF(YEAR(TODAY())&gt;$Q1209,"Past peak",IF(YEAR(TODAY())=$Q1209,"Drink now","Ready"))))))</f>
        <v/>
      </c>
    </row>
    <row r="1210">
      <c r="A1210" s="32">
        <f>IF($B1210="","",IFERROR(IMAGE($B1210,4,60,60),""))</f>
        <v/>
      </c>
      <c r="T1210" s="68" t="n"/>
      <c r="V1210" s="32">
        <f>IF($M1210="","",IF($M1210=0,"Out of stock",IF(OR($P1210="",$Q1210=""),"No window",IF(YEAR(TODAY())&lt;$P1210,"Too young",IF(YEAR(TODAY())&gt;$Q1210,"Past peak",IF(YEAR(TODAY())=$Q1210,"Drink now","Ready"))))))</f>
        <v/>
      </c>
    </row>
    <row r="1211">
      <c r="A1211" s="32">
        <f>IF($B1211="","",IFERROR(IMAGE($B1211,4,60,60),""))</f>
        <v/>
      </c>
      <c r="T1211" s="68" t="n"/>
      <c r="V1211" s="32">
        <f>IF($M1211="","",IF($M1211=0,"Out of stock",IF(OR($P1211="",$Q1211=""),"No window",IF(YEAR(TODAY())&lt;$P1211,"Too young",IF(YEAR(TODAY())&gt;$Q1211,"Past peak",IF(YEAR(TODAY())=$Q1211,"Drink now","Ready"))))))</f>
        <v/>
      </c>
    </row>
    <row r="1212">
      <c r="A1212" s="32">
        <f>IF($B1212="","",IFERROR(IMAGE($B1212,4,60,60),""))</f>
        <v/>
      </c>
      <c r="T1212" s="68" t="n"/>
      <c r="V1212" s="32">
        <f>IF($M1212="","",IF($M1212=0,"Out of stock",IF(OR($P1212="",$Q1212=""),"No window",IF(YEAR(TODAY())&lt;$P1212,"Too young",IF(YEAR(TODAY())&gt;$Q1212,"Past peak",IF(YEAR(TODAY())=$Q1212,"Drink now","Ready"))))))</f>
        <v/>
      </c>
    </row>
    <row r="1213">
      <c r="A1213" s="32">
        <f>IF($B1213="","",IFERROR(IMAGE($B1213,4,60,60),""))</f>
        <v/>
      </c>
      <c r="T1213" s="68" t="n"/>
      <c r="V1213" s="32">
        <f>IF($M1213="","",IF($M1213=0,"Out of stock",IF(OR($P1213="",$Q1213=""),"No window",IF(YEAR(TODAY())&lt;$P1213,"Too young",IF(YEAR(TODAY())&gt;$Q1213,"Past peak",IF(YEAR(TODAY())=$Q1213,"Drink now","Ready"))))))</f>
        <v/>
      </c>
    </row>
    <row r="1214">
      <c r="A1214" s="32">
        <f>IF($B1214="","",IFERROR(IMAGE($B1214,4,60,60),""))</f>
        <v/>
      </c>
      <c r="T1214" s="68" t="n"/>
      <c r="V1214" s="32">
        <f>IF($M1214="","",IF($M1214=0,"Out of stock",IF(OR($P1214="",$Q1214=""),"No window",IF(YEAR(TODAY())&lt;$P1214,"Too young",IF(YEAR(TODAY())&gt;$Q1214,"Past peak",IF(YEAR(TODAY())=$Q1214,"Drink now","Ready"))))))</f>
        <v/>
      </c>
    </row>
    <row r="1215">
      <c r="A1215" s="32">
        <f>IF($B1215="","",IFERROR(IMAGE($B1215,4,60,60),""))</f>
        <v/>
      </c>
      <c r="T1215" s="68" t="n"/>
      <c r="V1215" s="32">
        <f>IF($M1215="","",IF($M1215=0,"Out of stock",IF(OR($P1215="",$Q1215=""),"No window",IF(YEAR(TODAY())&lt;$P1215,"Too young",IF(YEAR(TODAY())&gt;$Q1215,"Past peak",IF(YEAR(TODAY())=$Q1215,"Drink now","Ready"))))))</f>
        <v/>
      </c>
    </row>
    <row r="1216">
      <c r="A1216" s="32">
        <f>IF($B1216="","",IFERROR(IMAGE($B1216,4,60,60),""))</f>
        <v/>
      </c>
      <c r="T1216" s="68" t="n"/>
      <c r="V1216" s="32">
        <f>IF($M1216="","",IF($M1216=0,"Out of stock",IF(OR($P1216="",$Q1216=""),"No window",IF(YEAR(TODAY())&lt;$P1216,"Too young",IF(YEAR(TODAY())&gt;$Q1216,"Past peak",IF(YEAR(TODAY())=$Q1216,"Drink now","Ready"))))))</f>
        <v/>
      </c>
    </row>
    <row r="1217">
      <c r="A1217" s="32">
        <f>IF($B1217="","",IFERROR(IMAGE($B1217,4,60,60),""))</f>
        <v/>
      </c>
      <c r="T1217" s="68" t="n"/>
      <c r="V1217" s="32">
        <f>IF($M1217="","",IF($M1217=0,"Out of stock",IF(OR($P1217="",$Q1217=""),"No window",IF(YEAR(TODAY())&lt;$P1217,"Too young",IF(YEAR(TODAY())&gt;$Q1217,"Past peak",IF(YEAR(TODAY())=$Q1217,"Drink now","Ready"))))))</f>
        <v/>
      </c>
    </row>
    <row r="1218">
      <c r="A1218" s="32">
        <f>IF($B1218="","",IFERROR(IMAGE($B1218,4,60,60),""))</f>
        <v/>
      </c>
      <c r="T1218" s="68" t="n"/>
      <c r="V1218" s="32">
        <f>IF($M1218="","",IF($M1218=0,"Out of stock",IF(OR($P1218="",$Q1218=""),"No window",IF(YEAR(TODAY())&lt;$P1218,"Too young",IF(YEAR(TODAY())&gt;$Q1218,"Past peak",IF(YEAR(TODAY())=$Q1218,"Drink now","Ready"))))))</f>
        <v/>
      </c>
    </row>
    <row r="1219">
      <c r="A1219" s="32">
        <f>IF($B1219="","",IFERROR(IMAGE($B1219,4,60,60),""))</f>
        <v/>
      </c>
      <c r="T1219" s="68" t="n"/>
      <c r="V1219" s="32">
        <f>IF($M1219="","",IF($M1219=0,"Out of stock",IF(OR($P1219="",$Q1219=""),"No window",IF(YEAR(TODAY())&lt;$P1219,"Too young",IF(YEAR(TODAY())&gt;$Q1219,"Past peak",IF(YEAR(TODAY())=$Q1219,"Drink now","Ready"))))))</f>
        <v/>
      </c>
    </row>
    <row r="1220">
      <c r="A1220" s="32">
        <f>IF($B1220="","",IFERROR(IMAGE($B1220,4,60,60),""))</f>
        <v/>
      </c>
      <c r="T1220" s="68" t="n"/>
      <c r="V1220" s="32">
        <f>IF($M1220="","",IF($M1220=0,"Out of stock",IF(OR($P1220="",$Q1220=""),"No window",IF(YEAR(TODAY())&lt;$P1220,"Too young",IF(YEAR(TODAY())&gt;$Q1220,"Past peak",IF(YEAR(TODAY())=$Q1220,"Drink now","Ready"))))))</f>
        <v/>
      </c>
    </row>
    <row r="1221">
      <c r="A1221" s="32">
        <f>IF($B1221="","",IFERROR(IMAGE($B1221,4,60,60),""))</f>
        <v/>
      </c>
      <c r="T1221" s="68" t="n"/>
      <c r="V1221" s="32">
        <f>IF($M1221="","",IF($M1221=0,"Out of stock",IF(OR($P1221="",$Q1221=""),"No window",IF(YEAR(TODAY())&lt;$P1221,"Too young",IF(YEAR(TODAY())&gt;$Q1221,"Past peak",IF(YEAR(TODAY())=$Q1221,"Drink now","Ready"))))))</f>
        <v/>
      </c>
    </row>
    <row r="1222">
      <c r="A1222" s="32">
        <f>IF($B1222="","",IFERROR(IMAGE($B1222,4,60,60),""))</f>
        <v/>
      </c>
      <c r="T1222" s="68" t="n"/>
      <c r="V1222" s="32">
        <f>IF($M1222="","",IF($M1222=0,"Out of stock",IF(OR($P1222="",$Q1222=""),"No window",IF(YEAR(TODAY())&lt;$P1222,"Too young",IF(YEAR(TODAY())&gt;$Q1222,"Past peak",IF(YEAR(TODAY())=$Q1222,"Drink now","Ready"))))))</f>
        <v/>
      </c>
    </row>
    <row r="1223">
      <c r="A1223" s="32">
        <f>IF($B1223="","",IFERROR(IMAGE($B1223,4,60,60),""))</f>
        <v/>
      </c>
      <c r="T1223" s="68" t="n"/>
      <c r="V1223" s="32">
        <f>IF($M1223="","",IF($M1223=0,"Out of stock",IF(OR($P1223="",$Q1223=""),"No window",IF(YEAR(TODAY())&lt;$P1223,"Too young",IF(YEAR(TODAY())&gt;$Q1223,"Past peak",IF(YEAR(TODAY())=$Q1223,"Drink now","Ready"))))))</f>
        <v/>
      </c>
    </row>
    <row r="1224">
      <c r="A1224" s="32">
        <f>IF($B1224="","",IFERROR(IMAGE($B1224,4,60,60),""))</f>
        <v/>
      </c>
      <c r="T1224" s="68" t="n"/>
      <c r="V1224" s="32">
        <f>IF($M1224="","",IF($M1224=0,"Out of stock",IF(OR($P1224="",$Q1224=""),"No window",IF(YEAR(TODAY())&lt;$P1224,"Too young",IF(YEAR(TODAY())&gt;$Q1224,"Past peak",IF(YEAR(TODAY())=$Q1224,"Drink now","Ready"))))))</f>
        <v/>
      </c>
    </row>
    <row r="1225">
      <c r="A1225" s="32">
        <f>IF($B1225="","",IFERROR(IMAGE($B1225,4,60,60),""))</f>
        <v/>
      </c>
      <c r="T1225" s="68" t="n"/>
      <c r="V1225" s="32">
        <f>IF($M1225="","",IF($M1225=0,"Out of stock",IF(OR($P1225="",$Q1225=""),"No window",IF(YEAR(TODAY())&lt;$P1225,"Too young",IF(YEAR(TODAY())&gt;$Q1225,"Past peak",IF(YEAR(TODAY())=$Q1225,"Drink now","Ready"))))))</f>
        <v/>
      </c>
    </row>
    <row r="1226">
      <c r="A1226" s="32">
        <f>IF($B1226="","",IFERROR(IMAGE($B1226,4,60,60),""))</f>
        <v/>
      </c>
      <c r="T1226" s="68" t="n"/>
      <c r="V1226" s="32">
        <f>IF($M1226="","",IF($M1226=0,"Out of stock",IF(OR($P1226="",$Q1226=""),"No window",IF(YEAR(TODAY())&lt;$P1226,"Too young",IF(YEAR(TODAY())&gt;$Q1226,"Past peak",IF(YEAR(TODAY())=$Q1226,"Drink now","Ready"))))))</f>
        <v/>
      </c>
    </row>
    <row r="1227">
      <c r="A1227" s="32">
        <f>IF($B1227="","",IFERROR(IMAGE($B1227,4,60,60),""))</f>
        <v/>
      </c>
      <c r="T1227" s="68" t="n"/>
      <c r="V1227" s="32">
        <f>IF($M1227="","",IF($M1227=0,"Out of stock",IF(OR($P1227="",$Q1227=""),"No window",IF(YEAR(TODAY())&lt;$P1227,"Too young",IF(YEAR(TODAY())&gt;$Q1227,"Past peak",IF(YEAR(TODAY())=$Q1227,"Drink now","Ready"))))))</f>
        <v/>
      </c>
    </row>
    <row r="1228">
      <c r="A1228" s="32">
        <f>IF($B1228="","",IFERROR(IMAGE($B1228,4,60,60),""))</f>
        <v/>
      </c>
      <c r="T1228" s="68" t="n"/>
      <c r="V1228" s="32">
        <f>IF($M1228="","",IF($M1228=0,"Out of stock",IF(OR($P1228="",$Q1228=""),"No window",IF(YEAR(TODAY())&lt;$P1228,"Too young",IF(YEAR(TODAY())&gt;$Q1228,"Past peak",IF(YEAR(TODAY())=$Q1228,"Drink now","Ready"))))))</f>
        <v/>
      </c>
    </row>
    <row r="1229">
      <c r="A1229" s="32">
        <f>IF($B1229="","",IFERROR(IMAGE($B1229,4,60,60),""))</f>
        <v/>
      </c>
      <c r="T1229" s="68" t="n"/>
      <c r="V1229" s="32">
        <f>IF($M1229="","",IF($M1229=0,"Out of stock",IF(OR($P1229="",$Q1229=""),"No window",IF(YEAR(TODAY())&lt;$P1229,"Too young",IF(YEAR(TODAY())&gt;$Q1229,"Past peak",IF(YEAR(TODAY())=$Q1229,"Drink now","Ready"))))))</f>
        <v/>
      </c>
    </row>
    <row r="1230">
      <c r="A1230" s="32">
        <f>IF($B1230="","",IFERROR(IMAGE($B1230,4,60,60),""))</f>
        <v/>
      </c>
      <c r="T1230" s="68" t="n"/>
      <c r="V1230" s="32">
        <f>IF($M1230="","",IF($M1230=0,"Out of stock",IF(OR($P1230="",$Q1230=""),"No window",IF(YEAR(TODAY())&lt;$P1230,"Too young",IF(YEAR(TODAY())&gt;$Q1230,"Past peak",IF(YEAR(TODAY())=$Q1230,"Drink now","Ready"))))))</f>
        <v/>
      </c>
    </row>
    <row r="1231">
      <c r="A1231" s="32">
        <f>IF($B1231="","",IFERROR(IMAGE($B1231,4,60,60),""))</f>
        <v/>
      </c>
      <c r="T1231" s="68" t="n"/>
      <c r="V1231" s="32">
        <f>IF($M1231="","",IF($M1231=0,"Out of stock",IF(OR($P1231="",$Q1231=""),"No window",IF(YEAR(TODAY())&lt;$P1231,"Too young",IF(YEAR(TODAY())&gt;$Q1231,"Past peak",IF(YEAR(TODAY())=$Q1231,"Drink now","Ready"))))))</f>
        <v/>
      </c>
    </row>
    <row r="1232">
      <c r="A1232" s="32">
        <f>IF($B1232="","",IFERROR(IMAGE($B1232,4,60,60),""))</f>
        <v/>
      </c>
      <c r="T1232" s="68" t="n"/>
      <c r="V1232" s="32">
        <f>IF($M1232="","",IF($M1232=0,"Out of stock",IF(OR($P1232="",$Q1232=""),"No window",IF(YEAR(TODAY())&lt;$P1232,"Too young",IF(YEAR(TODAY())&gt;$Q1232,"Past peak",IF(YEAR(TODAY())=$Q1232,"Drink now","Ready"))))))</f>
        <v/>
      </c>
    </row>
    <row r="1233">
      <c r="A1233" s="32">
        <f>IF($B1233="","",IFERROR(IMAGE($B1233,4,60,60),""))</f>
        <v/>
      </c>
      <c r="T1233" s="68" t="n"/>
      <c r="V1233" s="32">
        <f>IF($M1233="","",IF($M1233=0,"Out of stock",IF(OR($P1233="",$Q1233=""),"No window",IF(YEAR(TODAY())&lt;$P1233,"Too young",IF(YEAR(TODAY())&gt;$Q1233,"Past peak",IF(YEAR(TODAY())=$Q1233,"Drink now","Ready"))))))</f>
        <v/>
      </c>
    </row>
    <row r="1234">
      <c r="A1234" s="32">
        <f>IF($B1234="","",IFERROR(IMAGE($B1234,4,60,60),""))</f>
        <v/>
      </c>
      <c r="T1234" s="68" t="n"/>
      <c r="V1234" s="32">
        <f>IF($M1234="","",IF($M1234=0,"Out of stock",IF(OR($P1234="",$Q1234=""),"No window",IF(YEAR(TODAY())&lt;$P1234,"Too young",IF(YEAR(TODAY())&gt;$Q1234,"Past peak",IF(YEAR(TODAY())=$Q1234,"Drink now","Ready"))))))</f>
        <v/>
      </c>
    </row>
    <row r="1235">
      <c r="A1235" s="32">
        <f>IF($B1235="","",IFERROR(IMAGE($B1235,4,60,60),""))</f>
        <v/>
      </c>
      <c r="T1235" s="68" t="n"/>
      <c r="V1235" s="32">
        <f>IF($M1235="","",IF($M1235=0,"Out of stock",IF(OR($P1235="",$Q1235=""),"No window",IF(YEAR(TODAY())&lt;$P1235,"Too young",IF(YEAR(TODAY())&gt;$Q1235,"Past peak",IF(YEAR(TODAY())=$Q1235,"Drink now","Ready"))))))</f>
        <v/>
      </c>
    </row>
    <row r="1236">
      <c r="A1236" s="32">
        <f>IF($B1236="","",IFERROR(IMAGE($B1236,4,60,60),""))</f>
        <v/>
      </c>
      <c r="T1236" s="68" t="n"/>
      <c r="V1236" s="32">
        <f>IF($M1236="","",IF($M1236=0,"Out of stock",IF(OR($P1236="",$Q1236=""),"No window",IF(YEAR(TODAY())&lt;$P1236,"Too young",IF(YEAR(TODAY())&gt;$Q1236,"Past peak",IF(YEAR(TODAY())=$Q1236,"Drink now","Ready"))))))</f>
        <v/>
      </c>
    </row>
    <row r="1237">
      <c r="A1237" s="32">
        <f>IF($B1237="","",IFERROR(IMAGE($B1237,4,60,60),""))</f>
        <v/>
      </c>
      <c r="T1237" s="68" t="n"/>
      <c r="V1237" s="32">
        <f>IF($M1237="","",IF($M1237=0,"Out of stock",IF(OR($P1237="",$Q1237=""),"No window",IF(YEAR(TODAY())&lt;$P1237,"Too young",IF(YEAR(TODAY())&gt;$Q1237,"Past peak",IF(YEAR(TODAY())=$Q1237,"Drink now","Ready"))))))</f>
        <v/>
      </c>
    </row>
    <row r="1238">
      <c r="A1238" s="32">
        <f>IF($B1238="","",IFERROR(IMAGE($B1238,4,60,60),""))</f>
        <v/>
      </c>
      <c r="T1238" s="68" t="n"/>
      <c r="V1238" s="32">
        <f>IF($M1238="","",IF($M1238=0,"Out of stock",IF(OR($P1238="",$Q1238=""),"No window",IF(YEAR(TODAY())&lt;$P1238,"Too young",IF(YEAR(TODAY())&gt;$Q1238,"Past peak",IF(YEAR(TODAY())=$Q1238,"Drink now","Ready"))))))</f>
        <v/>
      </c>
    </row>
    <row r="1239">
      <c r="A1239" s="32">
        <f>IF($B1239="","",IFERROR(IMAGE($B1239,4,60,60),""))</f>
        <v/>
      </c>
      <c r="T1239" s="68" t="n"/>
      <c r="V1239" s="32">
        <f>IF($M1239="","",IF($M1239=0,"Out of stock",IF(OR($P1239="",$Q1239=""),"No window",IF(YEAR(TODAY())&lt;$P1239,"Too young",IF(YEAR(TODAY())&gt;$Q1239,"Past peak",IF(YEAR(TODAY())=$Q1239,"Drink now","Ready"))))))</f>
        <v/>
      </c>
    </row>
    <row r="1240">
      <c r="A1240" s="32">
        <f>IF($B1240="","",IFERROR(IMAGE($B1240,4,60,60),""))</f>
        <v/>
      </c>
      <c r="T1240" s="68" t="n"/>
      <c r="V1240" s="32">
        <f>IF($M1240="","",IF($M1240=0,"Out of stock",IF(OR($P1240="",$Q1240=""),"No window",IF(YEAR(TODAY())&lt;$P1240,"Too young",IF(YEAR(TODAY())&gt;$Q1240,"Past peak",IF(YEAR(TODAY())=$Q1240,"Drink now","Ready"))))))</f>
        <v/>
      </c>
    </row>
    <row r="1241">
      <c r="A1241" s="32">
        <f>IF($B1241="","",IFERROR(IMAGE($B1241,4,60,60),""))</f>
        <v/>
      </c>
      <c r="T1241" s="68" t="n"/>
      <c r="V1241" s="32">
        <f>IF($M1241="","",IF($M1241=0,"Out of stock",IF(OR($P1241="",$Q1241=""),"No window",IF(YEAR(TODAY())&lt;$P1241,"Too young",IF(YEAR(TODAY())&gt;$Q1241,"Past peak",IF(YEAR(TODAY())=$Q1241,"Drink now","Ready"))))))</f>
        <v/>
      </c>
    </row>
    <row r="1242">
      <c r="A1242" s="32">
        <f>IF($B1242="","",IFERROR(IMAGE($B1242,4,60,60),""))</f>
        <v/>
      </c>
      <c r="T1242" s="68" t="n"/>
      <c r="V1242" s="32">
        <f>IF($M1242="","",IF($M1242=0,"Out of stock",IF(OR($P1242="",$Q1242=""),"No window",IF(YEAR(TODAY())&lt;$P1242,"Too young",IF(YEAR(TODAY())&gt;$Q1242,"Past peak",IF(YEAR(TODAY())=$Q1242,"Drink now","Ready"))))))</f>
        <v/>
      </c>
    </row>
    <row r="1243">
      <c r="A1243" s="32">
        <f>IF($B1243="","",IFERROR(IMAGE($B1243,4,60,60),""))</f>
        <v/>
      </c>
      <c r="T1243" s="68" t="n"/>
      <c r="V1243" s="32">
        <f>IF($M1243="","",IF($M1243=0,"Out of stock",IF(OR($P1243="",$Q1243=""),"No window",IF(YEAR(TODAY())&lt;$P1243,"Too young",IF(YEAR(TODAY())&gt;$Q1243,"Past peak",IF(YEAR(TODAY())=$Q1243,"Drink now","Ready"))))))</f>
        <v/>
      </c>
    </row>
    <row r="1244">
      <c r="A1244" s="32">
        <f>IF($B1244="","",IFERROR(IMAGE($B1244,4,60,60),""))</f>
        <v/>
      </c>
      <c r="T1244" s="68" t="n"/>
      <c r="V1244" s="32">
        <f>IF($M1244="","",IF($M1244=0,"Out of stock",IF(OR($P1244="",$Q1244=""),"No window",IF(YEAR(TODAY())&lt;$P1244,"Too young",IF(YEAR(TODAY())&gt;$Q1244,"Past peak",IF(YEAR(TODAY())=$Q1244,"Drink now","Ready"))))))</f>
        <v/>
      </c>
    </row>
    <row r="1245">
      <c r="A1245" s="32">
        <f>IF($B1245="","",IFERROR(IMAGE($B1245,4,60,60),""))</f>
        <v/>
      </c>
      <c r="T1245" s="68" t="n"/>
      <c r="V1245" s="32">
        <f>IF($M1245="","",IF($M1245=0,"Out of stock",IF(OR($P1245="",$Q1245=""),"No window",IF(YEAR(TODAY())&lt;$P1245,"Too young",IF(YEAR(TODAY())&gt;$Q1245,"Past peak",IF(YEAR(TODAY())=$Q1245,"Drink now","Ready"))))))</f>
        <v/>
      </c>
    </row>
    <row r="1246">
      <c r="A1246" s="32">
        <f>IF($B1246="","",IFERROR(IMAGE($B1246,4,60,60),""))</f>
        <v/>
      </c>
      <c r="T1246" s="68" t="n"/>
      <c r="V1246" s="32">
        <f>IF($M1246="","",IF($M1246=0,"Out of stock",IF(OR($P1246="",$Q1246=""),"No window",IF(YEAR(TODAY())&lt;$P1246,"Too young",IF(YEAR(TODAY())&gt;$Q1246,"Past peak",IF(YEAR(TODAY())=$Q1246,"Drink now","Ready"))))))</f>
        <v/>
      </c>
    </row>
    <row r="1247">
      <c r="A1247" s="32">
        <f>IF($B1247="","",IFERROR(IMAGE($B1247,4,60,60),""))</f>
        <v/>
      </c>
      <c r="T1247" s="68" t="n"/>
      <c r="V1247" s="32">
        <f>IF($M1247="","",IF($M1247=0,"Out of stock",IF(OR($P1247="",$Q1247=""),"No window",IF(YEAR(TODAY())&lt;$P1247,"Too young",IF(YEAR(TODAY())&gt;$Q1247,"Past peak",IF(YEAR(TODAY())=$Q1247,"Drink now","Ready"))))))</f>
        <v/>
      </c>
    </row>
    <row r="1248">
      <c r="A1248" s="32">
        <f>IF($B1248="","",IFERROR(IMAGE($B1248,4,60,60),""))</f>
        <v/>
      </c>
      <c r="T1248" s="68" t="n"/>
      <c r="V1248" s="32">
        <f>IF($M1248="","",IF($M1248=0,"Out of stock",IF(OR($P1248="",$Q1248=""),"No window",IF(YEAR(TODAY())&lt;$P1248,"Too young",IF(YEAR(TODAY())&gt;$Q1248,"Past peak",IF(YEAR(TODAY())=$Q1248,"Drink now","Ready"))))))</f>
        <v/>
      </c>
    </row>
    <row r="1249">
      <c r="A1249" s="32">
        <f>IF($B1249="","",IFERROR(IMAGE($B1249,4,60,60),""))</f>
        <v/>
      </c>
      <c r="T1249" s="68" t="n"/>
      <c r="V1249" s="32">
        <f>IF($M1249="","",IF($M1249=0,"Out of stock",IF(OR($P1249="",$Q1249=""),"No window",IF(YEAR(TODAY())&lt;$P1249,"Too young",IF(YEAR(TODAY())&gt;$Q1249,"Past peak",IF(YEAR(TODAY())=$Q1249,"Drink now","Ready"))))))</f>
        <v/>
      </c>
    </row>
    <row r="1250">
      <c r="A1250" s="32">
        <f>IF($B1250="","",IFERROR(IMAGE($B1250,4,60,60),""))</f>
        <v/>
      </c>
      <c r="T1250" s="68" t="n"/>
      <c r="V1250" s="32">
        <f>IF($M1250="","",IF($M1250=0,"Out of stock",IF(OR($P1250="",$Q1250=""),"No window",IF(YEAR(TODAY())&lt;$P1250,"Too young",IF(YEAR(TODAY())&gt;$Q1250,"Past peak",IF(YEAR(TODAY())=$Q1250,"Drink now","Ready"))))))</f>
        <v/>
      </c>
    </row>
    <row r="1251">
      <c r="A1251" s="32">
        <f>IF($B1251="","",IFERROR(IMAGE($B1251,4,60,60),""))</f>
        <v/>
      </c>
      <c r="T1251" s="68" t="n"/>
      <c r="V1251" s="32">
        <f>IF($M1251="","",IF($M1251=0,"Out of stock",IF(OR($P1251="",$Q1251=""),"No window",IF(YEAR(TODAY())&lt;$P1251,"Too young",IF(YEAR(TODAY())&gt;$Q1251,"Past peak",IF(YEAR(TODAY())=$Q1251,"Drink now","Ready"))))))</f>
        <v/>
      </c>
    </row>
    <row r="1252">
      <c r="A1252" s="32">
        <f>IF($B1252="","",IFERROR(IMAGE($B1252,4,60,60),""))</f>
        <v/>
      </c>
      <c r="T1252" s="68" t="n"/>
      <c r="V1252" s="32">
        <f>IF($M1252="","",IF($M1252=0,"Out of stock",IF(OR($P1252="",$Q1252=""),"No window",IF(YEAR(TODAY())&lt;$P1252,"Too young",IF(YEAR(TODAY())&gt;$Q1252,"Past peak",IF(YEAR(TODAY())=$Q1252,"Drink now","Ready"))))))</f>
        <v/>
      </c>
    </row>
    <row r="1253">
      <c r="A1253" s="32">
        <f>IF($B1253="","",IFERROR(IMAGE($B1253,4,60,60),""))</f>
        <v/>
      </c>
      <c r="T1253" s="68" t="n"/>
      <c r="V1253" s="32">
        <f>IF($M1253="","",IF($M1253=0,"Out of stock",IF(OR($P1253="",$Q1253=""),"No window",IF(YEAR(TODAY())&lt;$P1253,"Too young",IF(YEAR(TODAY())&gt;$Q1253,"Past peak",IF(YEAR(TODAY())=$Q1253,"Drink now","Ready"))))))</f>
        <v/>
      </c>
    </row>
    <row r="1254">
      <c r="A1254" s="32">
        <f>IF($B1254="","",IFERROR(IMAGE($B1254,4,60,60),""))</f>
        <v/>
      </c>
      <c r="T1254" s="68" t="n"/>
      <c r="V1254" s="32">
        <f>IF($M1254="","",IF($M1254=0,"Out of stock",IF(OR($P1254="",$Q1254=""),"No window",IF(YEAR(TODAY())&lt;$P1254,"Too young",IF(YEAR(TODAY())&gt;$Q1254,"Past peak",IF(YEAR(TODAY())=$Q1254,"Drink now","Ready"))))))</f>
        <v/>
      </c>
    </row>
    <row r="1255">
      <c r="A1255" s="32">
        <f>IF($B1255="","",IFERROR(IMAGE($B1255,4,60,60),""))</f>
        <v/>
      </c>
      <c r="T1255" s="68" t="n"/>
      <c r="V1255" s="32">
        <f>IF($M1255="","",IF($M1255=0,"Out of stock",IF(OR($P1255="",$Q1255=""),"No window",IF(YEAR(TODAY())&lt;$P1255,"Too young",IF(YEAR(TODAY())&gt;$Q1255,"Past peak",IF(YEAR(TODAY())=$Q1255,"Drink now","Ready"))))))</f>
        <v/>
      </c>
    </row>
    <row r="1256">
      <c r="A1256" s="32">
        <f>IF($B1256="","",IFERROR(IMAGE($B1256,4,60,60),""))</f>
        <v/>
      </c>
      <c r="T1256" s="68" t="n"/>
      <c r="V1256" s="32">
        <f>IF($M1256="","",IF($M1256=0,"Out of stock",IF(OR($P1256="",$Q1256=""),"No window",IF(YEAR(TODAY())&lt;$P1256,"Too young",IF(YEAR(TODAY())&gt;$Q1256,"Past peak",IF(YEAR(TODAY())=$Q1256,"Drink now","Ready"))))))</f>
        <v/>
      </c>
    </row>
    <row r="1257">
      <c r="A1257" s="32">
        <f>IF($B1257="","",IFERROR(IMAGE($B1257,4,60,60),""))</f>
        <v/>
      </c>
      <c r="T1257" s="68" t="n"/>
      <c r="V1257" s="32">
        <f>IF($M1257="","",IF($M1257=0,"Out of stock",IF(OR($P1257="",$Q1257=""),"No window",IF(YEAR(TODAY())&lt;$P1257,"Too young",IF(YEAR(TODAY())&gt;$Q1257,"Past peak",IF(YEAR(TODAY())=$Q1257,"Drink now","Ready"))))))</f>
        <v/>
      </c>
    </row>
    <row r="1258">
      <c r="A1258" s="32">
        <f>IF($B1258="","",IFERROR(IMAGE($B1258,4,60,60),""))</f>
        <v/>
      </c>
      <c r="T1258" s="68" t="n"/>
      <c r="V1258" s="32">
        <f>IF($M1258="","",IF($M1258=0,"Out of stock",IF(OR($P1258="",$Q1258=""),"No window",IF(YEAR(TODAY())&lt;$P1258,"Too young",IF(YEAR(TODAY())&gt;$Q1258,"Past peak",IF(YEAR(TODAY())=$Q1258,"Drink now","Ready"))))))</f>
        <v/>
      </c>
    </row>
    <row r="1259">
      <c r="A1259" s="32">
        <f>IF($B1259="","",IFERROR(IMAGE($B1259,4,60,60),""))</f>
        <v/>
      </c>
      <c r="T1259" s="68" t="n"/>
      <c r="V1259" s="32">
        <f>IF($M1259="","",IF($M1259=0,"Out of stock",IF(OR($P1259="",$Q1259=""),"No window",IF(YEAR(TODAY())&lt;$P1259,"Too young",IF(YEAR(TODAY())&gt;$Q1259,"Past peak",IF(YEAR(TODAY())=$Q1259,"Drink now","Ready"))))))</f>
        <v/>
      </c>
    </row>
    <row r="1260">
      <c r="A1260" s="32">
        <f>IF($B1260="","",IFERROR(IMAGE($B1260,4,60,60),""))</f>
        <v/>
      </c>
      <c r="T1260" s="68" t="n"/>
      <c r="V1260" s="32">
        <f>IF($M1260="","",IF($M1260=0,"Out of stock",IF(OR($P1260="",$Q1260=""),"No window",IF(YEAR(TODAY())&lt;$P1260,"Too young",IF(YEAR(TODAY())&gt;$Q1260,"Past peak",IF(YEAR(TODAY())=$Q1260,"Drink now","Ready"))))))</f>
        <v/>
      </c>
    </row>
    <row r="1261">
      <c r="A1261" s="32">
        <f>IF($B1261="","",IFERROR(IMAGE($B1261,4,60,60),""))</f>
        <v/>
      </c>
      <c r="T1261" s="68" t="n"/>
      <c r="V1261" s="32">
        <f>IF($M1261="","",IF($M1261=0,"Out of stock",IF(OR($P1261="",$Q1261=""),"No window",IF(YEAR(TODAY())&lt;$P1261,"Too young",IF(YEAR(TODAY())&gt;$Q1261,"Past peak",IF(YEAR(TODAY())=$Q1261,"Drink now","Ready"))))))</f>
        <v/>
      </c>
    </row>
    <row r="1262">
      <c r="A1262" s="32">
        <f>IF($B1262="","",IFERROR(IMAGE($B1262,4,60,60),""))</f>
        <v/>
      </c>
      <c r="T1262" s="68" t="n"/>
      <c r="V1262" s="32">
        <f>IF($M1262="","",IF($M1262=0,"Out of stock",IF(OR($P1262="",$Q1262=""),"No window",IF(YEAR(TODAY())&lt;$P1262,"Too young",IF(YEAR(TODAY())&gt;$Q1262,"Past peak",IF(YEAR(TODAY())=$Q1262,"Drink now","Ready"))))))</f>
        <v/>
      </c>
    </row>
    <row r="1263">
      <c r="A1263" s="32">
        <f>IF($B1263="","",IFERROR(IMAGE($B1263,4,60,60),""))</f>
        <v/>
      </c>
      <c r="T1263" s="68" t="n"/>
      <c r="V1263" s="32">
        <f>IF($M1263="","",IF($M1263=0,"Out of stock",IF(OR($P1263="",$Q1263=""),"No window",IF(YEAR(TODAY())&lt;$P1263,"Too young",IF(YEAR(TODAY())&gt;$Q1263,"Past peak",IF(YEAR(TODAY())=$Q1263,"Drink now","Ready"))))))</f>
        <v/>
      </c>
    </row>
    <row r="1264">
      <c r="A1264" s="32">
        <f>IF($B1264="","",IFERROR(IMAGE($B1264,4,60,60),""))</f>
        <v/>
      </c>
      <c r="T1264" s="68" t="n"/>
      <c r="V1264" s="32">
        <f>IF($M1264="","",IF($M1264=0,"Out of stock",IF(OR($P1264="",$Q1264=""),"No window",IF(YEAR(TODAY())&lt;$P1264,"Too young",IF(YEAR(TODAY())&gt;$Q1264,"Past peak",IF(YEAR(TODAY())=$Q1264,"Drink now","Ready"))))))</f>
        <v/>
      </c>
    </row>
    <row r="1265">
      <c r="A1265" s="32">
        <f>IF($B1265="","",IFERROR(IMAGE($B1265,4,60,60),""))</f>
        <v/>
      </c>
      <c r="T1265" s="68" t="n"/>
      <c r="V1265" s="32">
        <f>IF($M1265="","",IF($M1265=0,"Out of stock",IF(OR($P1265="",$Q1265=""),"No window",IF(YEAR(TODAY())&lt;$P1265,"Too young",IF(YEAR(TODAY())&gt;$Q1265,"Past peak",IF(YEAR(TODAY())=$Q1265,"Drink now","Ready"))))))</f>
        <v/>
      </c>
    </row>
    <row r="1266">
      <c r="A1266" s="32">
        <f>IF($B1266="","",IFERROR(IMAGE($B1266,4,60,60),""))</f>
        <v/>
      </c>
      <c r="T1266" s="68" t="n"/>
      <c r="V1266" s="32">
        <f>IF($M1266="","",IF($M1266=0,"Out of stock",IF(OR($P1266="",$Q1266=""),"No window",IF(YEAR(TODAY())&lt;$P1266,"Too young",IF(YEAR(TODAY())&gt;$Q1266,"Past peak",IF(YEAR(TODAY())=$Q1266,"Drink now","Ready"))))))</f>
        <v/>
      </c>
    </row>
    <row r="1267">
      <c r="A1267" s="32">
        <f>IF($B1267="","",IFERROR(IMAGE($B1267,4,60,60),""))</f>
        <v/>
      </c>
      <c r="T1267" s="68" t="n"/>
      <c r="V1267" s="32">
        <f>IF($M1267="","",IF($M1267=0,"Out of stock",IF(OR($P1267="",$Q1267=""),"No window",IF(YEAR(TODAY())&lt;$P1267,"Too young",IF(YEAR(TODAY())&gt;$Q1267,"Past peak",IF(YEAR(TODAY())=$Q1267,"Drink now","Ready"))))))</f>
        <v/>
      </c>
    </row>
    <row r="1268">
      <c r="A1268" s="32">
        <f>IF($B1268="","",IFERROR(IMAGE($B1268,4,60,60),""))</f>
        <v/>
      </c>
      <c r="T1268" s="68" t="n"/>
      <c r="V1268" s="32">
        <f>IF($M1268="","",IF($M1268=0,"Out of stock",IF(OR($P1268="",$Q1268=""),"No window",IF(YEAR(TODAY())&lt;$P1268,"Too young",IF(YEAR(TODAY())&gt;$Q1268,"Past peak",IF(YEAR(TODAY())=$Q1268,"Drink now","Ready"))))))</f>
        <v/>
      </c>
    </row>
    <row r="1269">
      <c r="A1269" s="32">
        <f>IF($B1269="","",IFERROR(IMAGE($B1269,4,60,60),""))</f>
        <v/>
      </c>
      <c r="T1269" s="68" t="n"/>
      <c r="V1269" s="32">
        <f>IF($M1269="","",IF($M1269=0,"Out of stock",IF(OR($P1269="",$Q1269=""),"No window",IF(YEAR(TODAY())&lt;$P1269,"Too young",IF(YEAR(TODAY())&gt;$Q1269,"Past peak",IF(YEAR(TODAY())=$Q1269,"Drink now","Ready"))))))</f>
        <v/>
      </c>
    </row>
    <row r="1270">
      <c r="A1270" s="32">
        <f>IF($B1270="","",IFERROR(IMAGE($B1270,4,60,60),""))</f>
        <v/>
      </c>
      <c r="T1270" s="68" t="n"/>
      <c r="V1270" s="32">
        <f>IF($M1270="","",IF($M1270=0,"Out of stock",IF(OR($P1270="",$Q1270=""),"No window",IF(YEAR(TODAY())&lt;$P1270,"Too young",IF(YEAR(TODAY())&gt;$Q1270,"Past peak",IF(YEAR(TODAY())=$Q1270,"Drink now","Ready"))))))</f>
        <v/>
      </c>
    </row>
    <row r="1271">
      <c r="A1271" s="32">
        <f>IF($B1271="","",IFERROR(IMAGE($B1271,4,60,60),""))</f>
        <v/>
      </c>
      <c r="T1271" s="68" t="n"/>
      <c r="V1271" s="32">
        <f>IF($M1271="","",IF($M1271=0,"Out of stock",IF(OR($P1271="",$Q1271=""),"No window",IF(YEAR(TODAY())&lt;$P1271,"Too young",IF(YEAR(TODAY())&gt;$Q1271,"Past peak",IF(YEAR(TODAY())=$Q1271,"Drink now","Ready"))))))</f>
        <v/>
      </c>
    </row>
    <row r="1272">
      <c r="A1272" s="32">
        <f>IF($B1272="","",IFERROR(IMAGE($B1272,4,60,60),""))</f>
        <v/>
      </c>
      <c r="T1272" s="68" t="n"/>
      <c r="V1272" s="32">
        <f>IF($M1272="","",IF($M1272=0,"Out of stock",IF(OR($P1272="",$Q1272=""),"No window",IF(YEAR(TODAY())&lt;$P1272,"Too young",IF(YEAR(TODAY())&gt;$Q1272,"Past peak",IF(YEAR(TODAY())=$Q1272,"Drink now","Ready"))))))</f>
        <v/>
      </c>
    </row>
    <row r="1273">
      <c r="A1273" s="32">
        <f>IF($B1273="","",IFERROR(IMAGE($B1273,4,60,60),""))</f>
        <v/>
      </c>
      <c r="T1273" s="68" t="n"/>
      <c r="V1273" s="32">
        <f>IF($M1273="","",IF($M1273=0,"Out of stock",IF(OR($P1273="",$Q1273=""),"No window",IF(YEAR(TODAY())&lt;$P1273,"Too young",IF(YEAR(TODAY())&gt;$Q1273,"Past peak",IF(YEAR(TODAY())=$Q1273,"Drink now","Ready"))))))</f>
        <v/>
      </c>
    </row>
    <row r="1274">
      <c r="A1274" s="32">
        <f>IF($B1274="","",IFERROR(IMAGE($B1274,4,60,60),""))</f>
        <v/>
      </c>
      <c r="T1274" s="68" t="n"/>
      <c r="V1274" s="32">
        <f>IF($M1274="","",IF($M1274=0,"Out of stock",IF(OR($P1274="",$Q1274=""),"No window",IF(YEAR(TODAY())&lt;$P1274,"Too young",IF(YEAR(TODAY())&gt;$Q1274,"Past peak",IF(YEAR(TODAY())=$Q1274,"Drink now","Ready"))))))</f>
        <v/>
      </c>
    </row>
    <row r="1275">
      <c r="A1275" s="32">
        <f>IF($B1275="","",IFERROR(IMAGE($B1275,4,60,60),""))</f>
        <v/>
      </c>
      <c r="T1275" s="68" t="n"/>
      <c r="V1275" s="32">
        <f>IF($M1275="","",IF($M1275=0,"Out of stock",IF(OR($P1275="",$Q1275=""),"No window",IF(YEAR(TODAY())&lt;$P1275,"Too young",IF(YEAR(TODAY())&gt;$Q1275,"Past peak",IF(YEAR(TODAY())=$Q1275,"Drink now","Ready"))))))</f>
        <v/>
      </c>
    </row>
    <row r="1276">
      <c r="A1276" s="32">
        <f>IF($B1276="","",IFERROR(IMAGE($B1276,4,60,60),""))</f>
        <v/>
      </c>
      <c r="T1276" s="68" t="n"/>
      <c r="V1276" s="32">
        <f>IF($M1276="","",IF($M1276=0,"Out of stock",IF(OR($P1276="",$Q1276=""),"No window",IF(YEAR(TODAY())&lt;$P1276,"Too young",IF(YEAR(TODAY())&gt;$Q1276,"Past peak",IF(YEAR(TODAY())=$Q1276,"Drink now","Ready"))))))</f>
        <v/>
      </c>
    </row>
    <row r="1277">
      <c r="A1277" s="32">
        <f>IF($B1277="","",IFERROR(IMAGE($B1277,4,60,60),""))</f>
        <v/>
      </c>
      <c r="T1277" s="68" t="n"/>
      <c r="V1277" s="32">
        <f>IF($M1277="","",IF($M1277=0,"Out of stock",IF(OR($P1277="",$Q1277=""),"No window",IF(YEAR(TODAY())&lt;$P1277,"Too young",IF(YEAR(TODAY())&gt;$Q1277,"Past peak",IF(YEAR(TODAY())=$Q1277,"Drink now","Ready"))))))</f>
        <v/>
      </c>
    </row>
    <row r="1278">
      <c r="A1278" s="32">
        <f>IF($B1278="","",IFERROR(IMAGE($B1278,4,60,60),""))</f>
        <v/>
      </c>
      <c r="T1278" s="68" t="n"/>
      <c r="V1278" s="32">
        <f>IF($M1278="","",IF($M1278=0,"Out of stock",IF(OR($P1278="",$Q1278=""),"No window",IF(YEAR(TODAY())&lt;$P1278,"Too young",IF(YEAR(TODAY())&gt;$Q1278,"Past peak",IF(YEAR(TODAY())=$Q1278,"Drink now","Ready"))))))</f>
        <v/>
      </c>
    </row>
    <row r="1279">
      <c r="A1279" s="32">
        <f>IF($B1279="","",IFERROR(IMAGE($B1279,4,60,60),""))</f>
        <v/>
      </c>
      <c r="T1279" s="68" t="n"/>
      <c r="V1279" s="32">
        <f>IF($M1279="","",IF($M1279=0,"Out of stock",IF(OR($P1279="",$Q1279=""),"No window",IF(YEAR(TODAY())&lt;$P1279,"Too young",IF(YEAR(TODAY())&gt;$Q1279,"Past peak",IF(YEAR(TODAY())=$Q1279,"Drink now","Ready"))))))</f>
        <v/>
      </c>
    </row>
    <row r="1280">
      <c r="A1280" s="32">
        <f>IF($B1280="","",IFERROR(IMAGE($B1280,4,60,60),""))</f>
        <v/>
      </c>
      <c r="T1280" s="68" t="n"/>
      <c r="V1280" s="32">
        <f>IF($M1280="","",IF($M1280=0,"Out of stock",IF(OR($P1280="",$Q1280=""),"No window",IF(YEAR(TODAY())&lt;$P1280,"Too young",IF(YEAR(TODAY())&gt;$Q1280,"Past peak",IF(YEAR(TODAY())=$Q1280,"Drink now","Ready"))))))</f>
        <v/>
      </c>
    </row>
    <row r="1281">
      <c r="A1281" s="32">
        <f>IF($B1281="","",IFERROR(IMAGE($B1281,4,60,60),""))</f>
        <v/>
      </c>
      <c r="T1281" s="68" t="n"/>
      <c r="V1281" s="32">
        <f>IF($M1281="","",IF($M1281=0,"Out of stock",IF(OR($P1281="",$Q1281=""),"No window",IF(YEAR(TODAY())&lt;$P1281,"Too young",IF(YEAR(TODAY())&gt;$Q1281,"Past peak",IF(YEAR(TODAY())=$Q1281,"Drink now","Ready"))))))</f>
        <v/>
      </c>
    </row>
    <row r="1282">
      <c r="A1282" s="32">
        <f>IF($B1282="","",IFERROR(IMAGE($B1282,4,60,60),""))</f>
        <v/>
      </c>
      <c r="T1282" s="68" t="n"/>
      <c r="V1282" s="32">
        <f>IF($M1282="","",IF($M1282=0,"Out of stock",IF(OR($P1282="",$Q1282=""),"No window",IF(YEAR(TODAY())&lt;$P1282,"Too young",IF(YEAR(TODAY())&gt;$Q1282,"Past peak",IF(YEAR(TODAY())=$Q1282,"Drink now","Ready"))))))</f>
        <v/>
      </c>
    </row>
    <row r="1283">
      <c r="A1283" s="32">
        <f>IF($B1283="","",IFERROR(IMAGE($B1283,4,60,60),""))</f>
        <v/>
      </c>
      <c r="T1283" s="68" t="n"/>
      <c r="V1283" s="32">
        <f>IF($M1283="","",IF($M1283=0,"Out of stock",IF(OR($P1283="",$Q1283=""),"No window",IF(YEAR(TODAY())&lt;$P1283,"Too young",IF(YEAR(TODAY())&gt;$Q1283,"Past peak",IF(YEAR(TODAY())=$Q1283,"Drink now","Ready"))))))</f>
        <v/>
      </c>
    </row>
    <row r="1284">
      <c r="A1284" s="32">
        <f>IF($B1284="","",IFERROR(IMAGE($B1284,4,60,60),""))</f>
        <v/>
      </c>
      <c r="T1284" s="68" t="n"/>
      <c r="V1284" s="32">
        <f>IF($M1284="","",IF($M1284=0,"Out of stock",IF(OR($P1284="",$Q1284=""),"No window",IF(YEAR(TODAY())&lt;$P1284,"Too young",IF(YEAR(TODAY())&gt;$Q1284,"Past peak",IF(YEAR(TODAY())=$Q1284,"Drink now","Ready"))))))</f>
        <v/>
      </c>
    </row>
    <row r="1285">
      <c r="A1285" s="32">
        <f>IF($B1285="","",IFERROR(IMAGE($B1285,4,60,60),""))</f>
        <v/>
      </c>
      <c r="T1285" s="68" t="n"/>
      <c r="V1285" s="32">
        <f>IF($M1285="","",IF($M1285=0,"Out of stock",IF(OR($P1285="",$Q1285=""),"No window",IF(YEAR(TODAY())&lt;$P1285,"Too young",IF(YEAR(TODAY())&gt;$Q1285,"Past peak",IF(YEAR(TODAY())=$Q1285,"Drink now","Ready"))))))</f>
        <v/>
      </c>
    </row>
    <row r="1286">
      <c r="A1286" s="32">
        <f>IF($B1286="","",IFERROR(IMAGE($B1286,4,60,60),""))</f>
        <v/>
      </c>
      <c r="T1286" s="68" t="n"/>
      <c r="V1286" s="32">
        <f>IF($M1286="","",IF($M1286=0,"Out of stock",IF(OR($P1286="",$Q1286=""),"No window",IF(YEAR(TODAY())&lt;$P1286,"Too young",IF(YEAR(TODAY())&gt;$Q1286,"Past peak",IF(YEAR(TODAY())=$Q1286,"Drink now","Ready"))))))</f>
        <v/>
      </c>
    </row>
    <row r="1287">
      <c r="A1287" s="32">
        <f>IF($B1287="","",IFERROR(IMAGE($B1287,4,60,60),""))</f>
        <v/>
      </c>
      <c r="T1287" s="68" t="n"/>
      <c r="V1287" s="32">
        <f>IF($M1287="","",IF($M1287=0,"Out of stock",IF(OR($P1287="",$Q1287=""),"No window",IF(YEAR(TODAY())&lt;$P1287,"Too young",IF(YEAR(TODAY())&gt;$Q1287,"Past peak",IF(YEAR(TODAY())=$Q1287,"Drink now","Ready"))))))</f>
        <v/>
      </c>
    </row>
    <row r="1288">
      <c r="A1288" s="32">
        <f>IF($B1288="","",IFERROR(IMAGE($B1288,4,60,60),""))</f>
        <v/>
      </c>
      <c r="T1288" s="68" t="n"/>
      <c r="V1288" s="32">
        <f>IF($M1288="","",IF($M1288=0,"Out of stock",IF(OR($P1288="",$Q1288=""),"No window",IF(YEAR(TODAY())&lt;$P1288,"Too young",IF(YEAR(TODAY())&gt;$Q1288,"Past peak",IF(YEAR(TODAY())=$Q1288,"Drink now","Ready"))))))</f>
        <v/>
      </c>
    </row>
    <row r="1289">
      <c r="A1289" s="32">
        <f>IF($B1289="","",IFERROR(IMAGE($B1289,4,60,60),""))</f>
        <v/>
      </c>
      <c r="T1289" s="68" t="n"/>
      <c r="V1289" s="32">
        <f>IF($M1289="","",IF($M1289=0,"Out of stock",IF(OR($P1289="",$Q1289=""),"No window",IF(YEAR(TODAY())&lt;$P1289,"Too young",IF(YEAR(TODAY())&gt;$Q1289,"Past peak",IF(YEAR(TODAY())=$Q1289,"Drink now","Ready"))))))</f>
        <v/>
      </c>
    </row>
    <row r="1290">
      <c r="A1290" s="32">
        <f>IF($B1290="","",IFERROR(IMAGE($B1290,4,60,60),""))</f>
        <v/>
      </c>
      <c r="T1290" s="68" t="n"/>
      <c r="V1290" s="32">
        <f>IF($M1290="","",IF($M1290=0,"Out of stock",IF(OR($P1290="",$Q1290=""),"No window",IF(YEAR(TODAY())&lt;$P1290,"Too young",IF(YEAR(TODAY())&gt;$Q1290,"Past peak",IF(YEAR(TODAY())=$Q1290,"Drink now","Ready"))))))</f>
        <v/>
      </c>
    </row>
    <row r="1291">
      <c r="A1291" s="32">
        <f>IF($B1291="","",IFERROR(IMAGE($B1291,4,60,60),""))</f>
        <v/>
      </c>
      <c r="T1291" s="68" t="n"/>
      <c r="V1291" s="32">
        <f>IF($M1291="","",IF($M1291=0,"Out of stock",IF(OR($P1291="",$Q1291=""),"No window",IF(YEAR(TODAY())&lt;$P1291,"Too young",IF(YEAR(TODAY())&gt;$Q1291,"Past peak",IF(YEAR(TODAY())=$Q1291,"Drink now","Ready"))))))</f>
        <v/>
      </c>
    </row>
    <row r="1292">
      <c r="A1292" s="32">
        <f>IF($B1292="","",IFERROR(IMAGE($B1292,4,60,60),""))</f>
        <v/>
      </c>
      <c r="T1292" s="68" t="n"/>
      <c r="V1292" s="32">
        <f>IF($M1292="","",IF($M1292=0,"Out of stock",IF(OR($P1292="",$Q1292=""),"No window",IF(YEAR(TODAY())&lt;$P1292,"Too young",IF(YEAR(TODAY())&gt;$Q1292,"Past peak",IF(YEAR(TODAY())=$Q1292,"Drink now","Ready"))))))</f>
        <v/>
      </c>
    </row>
    <row r="1293">
      <c r="A1293" s="32">
        <f>IF($B1293="","",IFERROR(IMAGE($B1293,4,60,60),""))</f>
        <v/>
      </c>
      <c r="T1293" s="68" t="n"/>
      <c r="V1293" s="32">
        <f>IF($M1293="","",IF($M1293=0,"Out of stock",IF(OR($P1293="",$Q1293=""),"No window",IF(YEAR(TODAY())&lt;$P1293,"Too young",IF(YEAR(TODAY())&gt;$Q1293,"Past peak",IF(YEAR(TODAY())=$Q1293,"Drink now","Ready"))))))</f>
        <v/>
      </c>
    </row>
    <row r="1294">
      <c r="A1294" s="32">
        <f>IF($B1294="","",IFERROR(IMAGE($B1294,4,60,60),""))</f>
        <v/>
      </c>
      <c r="T1294" s="68" t="n"/>
      <c r="V1294" s="32">
        <f>IF($M1294="","",IF($M1294=0,"Out of stock",IF(OR($P1294="",$Q1294=""),"No window",IF(YEAR(TODAY())&lt;$P1294,"Too young",IF(YEAR(TODAY())&gt;$Q1294,"Past peak",IF(YEAR(TODAY())=$Q1294,"Drink now","Ready"))))))</f>
        <v/>
      </c>
    </row>
    <row r="1295">
      <c r="A1295" s="32">
        <f>IF($B1295="","",IFERROR(IMAGE($B1295,4,60,60),""))</f>
        <v/>
      </c>
      <c r="T1295" s="68" t="n"/>
      <c r="V1295" s="32">
        <f>IF($M1295="","",IF($M1295=0,"Out of stock",IF(OR($P1295="",$Q1295=""),"No window",IF(YEAR(TODAY())&lt;$P1295,"Too young",IF(YEAR(TODAY())&gt;$Q1295,"Past peak",IF(YEAR(TODAY())=$Q1295,"Drink now","Ready"))))))</f>
        <v/>
      </c>
    </row>
    <row r="1296">
      <c r="A1296" s="32">
        <f>IF($B1296="","",IFERROR(IMAGE($B1296,4,60,60),""))</f>
        <v/>
      </c>
      <c r="T1296" s="68" t="n"/>
      <c r="V1296" s="32">
        <f>IF($M1296="","",IF($M1296=0,"Out of stock",IF(OR($P1296="",$Q1296=""),"No window",IF(YEAR(TODAY())&lt;$P1296,"Too young",IF(YEAR(TODAY())&gt;$Q1296,"Past peak",IF(YEAR(TODAY())=$Q1296,"Drink now","Ready"))))))</f>
        <v/>
      </c>
    </row>
    <row r="1297">
      <c r="A1297" s="32">
        <f>IF($B1297="","",IFERROR(IMAGE($B1297,4,60,60),""))</f>
        <v/>
      </c>
      <c r="T1297" s="68" t="n"/>
      <c r="V1297" s="32">
        <f>IF($M1297="","",IF($M1297=0,"Out of stock",IF(OR($P1297="",$Q1297=""),"No window",IF(YEAR(TODAY())&lt;$P1297,"Too young",IF(YEAR(TODAY())&gt;$Q1297,"Past peak",IF(YEAR(TODAY())=$Q1297,"Drink now","Ready"))))))</f>
        <v/>
      </c>
    </row>
    <row r="1298">
      <c r="A1298" s="32">
        <f>IF($B1298="","",IFERROR(IMAGE($B1298,4,60,60),""))</f>
        <v/>
      </c>
      <c r="T1298" s="68" t="n"/>
      <c r="V1298" s="32">
        <f>IF($M1298="","",IF($M1298=0,"Out of stock",IF(OR($P1298="",$Q1298=""),"No window",IF(YEAR(TODAY())&lt;$P1298,"Too young",IF(YEAR(TODAY())&gt;$Q1298,"Past peak",IF(YEAR(TODAY())=$Q1298,"Drink now","Ready"))))))</f>
        <v/>
      </c>
    </row>
    <row r="1299">
      <c r="A1299" s="32">
        <f>IF($B1299="","",IFERROR(IMAGE($B1299,4,60,60),""))</f>
        <v/>
      </c>
      <c r="T1299" s="68" t="n"/>
      <c r="V1299" s="32">
        <f>IF($M1299="","",IF($M1299=0,"Out of stock",IF(OR($P1299="",$Q1299=""),"No window",IF(YEAR(TODAY())&lt;$P1299,"Too young",IF(YEAR(TODAY())&gt;$Q1299,"Past peak",IF(YEAR(TODAY())=$Q1299,"Drink now","Ready"))))))</f>
        <v/>
      </c>
    </row>
    <row r="1300">
      <c r="A1300" s="32">
        <f>IF($B1300="","",IFERROR(IMAGE($B1300,4,60,60),""))</f>
        <v/>
      </c>
      <c r="T1300" s="68" t="n"/>
      <c r="V1300" s="32">
        <f>IF($M1300="","",IF($M1300=0,"Out of stock",IF(OR($P1300="",$Q1300=""),"No window",IF(YEAR(TODAY())&lt;$P1300,"Too young",IF(YEAR(TODAY())&gt;$Q1300,"Past peak",IF(YEAR(TODAY())=$Q1300,"Drink now","Ready"))))))</f>
        <v/>
      </c>
    </row>
    <row r="1301">
      <c r="A1301" s="32">
        <f>IF($B1301="","",IFERROR(IMAGE($B1301,4,60,60),""))</f>
        <v/>
      </c>
      <c r="T1301" s="68" t="n"/>
      <c r="V1301" s="32">
        <f>IF($M1301="","",IF($M1301=0,"Out of stock",IF(OR($P1301="",$Q1301=""),"No window",IF(YEAR(TODAY())&lt;$P1301,"Too young",IF(YEAR(TODAY())&gt;$Q1301,"Past peak",IF(YEAR(TODAY())=$Q1301,"Drink now","Ready"))))))</f>
        <v/>
      </c>
    </row>
    <row r="1302">
      <c r="A1302" s="32">
        <f>IF($B1302="","",IFERROR(IMAGE($B1302,4,60,60),""))</f>
        <v/>
      </c>
      <c r="T1302" s="68" t="n"/>
      <c r="V1302" s="32">
        <f>IF($M1302="","",IF($M1302=0,"Out of stock",IF(OR($P1302="",$Q1302=""),"No window",IF(YEAR(TODAY())&lt;$P1302,"Too young",IF(YEAR(TODAY())&gt;$Q1302,"Past peak",IF(YEAR(TODAY())=$Q1302,"Drink now","Ready"))))))</f>
        <v/>
      </c>
    </row>
    <row r="1303">
      <c r="A1303" s="32">
        <f>IF($B1303="","",IFERROR(IMAGE($B1303,4,60,60),""))</f>
        <v/>
      </c>
      <c r="T1303" s="68" t="n"/>
      <c r="V1303" s="32">
        <f>IF($M1303="","",IF($M1303=0,"Out of stock",IF(OR($P1303="",$Q1303=""),"No window",IF(YEAR(TODAY())&lt;$P1303,"Too young",IF(YEAR(TODAY())&gt;$Q1303,"Past peak",IF(YEAR(TODAY())=$Q1303,"Drink now","Ready"))))))</f>
        <v/>
      </c>
    </row>
    <row r="1304">
      <c r="A1304" s="32">
        <f>IF($B1304="","",IFERROR(IMAGE($B1304,4,60,60),""))</f>
        <v/>
      </c>
      <c r="T1304" s="68" t="n"/>
      <c r="V1304" s="32">
        <f>IF($M1304="","",IF($M1304=0,"Out of stock",IF(OR($P1304="",$Q1304=""),"No window",IF(YEAR(TODAY())&lt;$P1304,"Too young",IF(YEAR(TODAY())&gt;$Q1304,"Past peak",IF(YEAR(TODAY())=$Q1304,"Drink now","Ready"))))))</f>
        <v/>
      </c>
    </row>
    <row r="1305">
      <c r="A1305" s="32">
        <f>IF($B1305="","",IFERROR(IMAGE($B1305,4,60,60),""))</f>
        <v/>
      </c>
      <c r="T1305" s="68" t="n"/>
      <c r="V1305" s="32">
        <f>IF($M1305="","",IF($M1305=0,"Out of stock",IF(OR($P1305="",$Q1305=""),"No window",IF(YEAR(TODAY())&lt;$P1305,"Too young",IF(YEAR(TODAY())&gt;$Q1305,"Past peak",IF(YEAR(TODAY())=$Q1305,"Drink now","Ready"))))))</f>
        <v/>
      </c>
    </row>
    <row r="1306">
      <c r="A1306" s="32">
        <f>IF($B1306="","",IFERROR(IMAGE($B1306,4,60,60),""))</f>
        <v/>
      </c>
      <c r="T1306" s="68" t="n"/>
      <c r="V1306" s="32">
        <f>IF($M1306="","",IF($M1306=0,"Out of stock",IF(OR($P1306="",$Q1306=""),"No window",IF(YEAR(TODAY())&lt;$P1306,"Too young",IF(YEAR(TODAY())&gt;$Q1306,"Past peak",IF(YEAR(TODAY())=$Q1306,"Drink now","Ready"))))))</f>
        <v/>
      </c>
    </row>
    <row r="1307">
      <c r="A1307" s="32">
        <f>IF($B1307="","",IFERROR(IMAGE($B1307,4,60,60),""))</f>
        <v/>
      </c>
      <c r="T1307" s="68" t="n"/>
      <c r="V1307" s="32">
        <f>IF($M1307="","",IF($M1307=0,"Out of stock",IF(OR($P1307="",$Q1307=""),"No window",IF(YEAR(TODAY())&lt;$P1307,"Too young",IF(YEAR(TODAY())&gt;$Q1307,"Past peak",IF(YEAR(TODAY())=$Q1307,"Drink now","Ready"))))))</f>
        <v/>
      </c>
    </row>
    <row r="1308">
      <c r="A1308" s="32">
        <f>IF($B1308="","",IFERROR(IMAGE($B1308,4,60,60),""))</f>
        <v/>
      </c>
      <c r="T1308" s="68" t="n"/>
      <c r="V1308" s="32">
        <f>IF($M1308="","",IF($M1308=0,"Out of stock",IF(OR($P1308="",$Q1308=""),"No window",IF(YEAR(TODAY())&lt;$P1308,"Too young",IF(YEAR(TODAY())&gt;$Q1308,"Past peak",IF(YEAR(TODAY())=$Q1308,"Drink now","Ready"))))))</f>
        <v/>
      </c>
    </row>
    <row r="1309">
      <c r="A1309" s="32">
        <f>IF($B1309="","",IFERROR(IMAGE($B1309,4,60,60),""))</f>
        <v/>
      </c>
      <c r="T1309" s="68" t="n"/>
      <c r="V1309" s="32">
        <f>IF($M1309="","",IF($M1309=0,"Out of stock",IF(OR($P1309="",$Q1309=""),"No window",IF(YEAR(TODAY())&lt;$P1309,"Too young",IF(YEAR(TODAY())&gt;$Q1309,"Past peak",IF(YEAR(TODAY())=$Q1309,"Drink now","Ready"))))))</f>
        <v/>
      </c>
    </row>
    <row r="1310">
      <c r="A1310" s="32">
        <f>IF($B1310="","",IFERROR(IMAGE($B1310,4,60,60),""))</f>
        <v/>
      </c>
      <c r="T1310" s="68" t="n"/>
      <c r="V1310" s="32">
        <f>IF($M1310="","",IF($M1310=0,"Out of stock",IF(OR($P1310="",$Q1310=""),"No window",IF(YEAR(TODAY())&lt;$P1310,"Too young",IF(YEAR(TODAY())&gt;$Q1310,"Past peak",IF(YEAR(TODAY())=$Q1310,"Drink now","Ready"))))))</f>
        <v/>
      </c>
    </row>
    <row r="1311">
      <c r="A1311" s="32">
        <f>IF($B1311="","",IFERROR(IMAGE($B1311,4,60,60),""))</f>
        <v/>
      </c>
      <c r="T1311" s="68" t="n"/>
      <c r="V1311" s="32">
        <f>IF($M1311="","",IF($M1311=0,"Out of stock",IF(OR($P1311="",$Q1311=""),"No window",IF(YEAR(TODAY())&lt;$P1311,"Too young",IF(YEAR(TODAY())&gt;$Q1311,"Past peak",IF(YEAR(TODAY())=$Q1311,"Drink now","Ready"))))))</f>
        <v/>
      </c>
    </row>
    <row r="1312">
      <c r="A1312" s="32">
        <f>IF($B1312="","",IFERROR(IMAGE($B1312,4,60,60),""))</f>
        <v/>
      </c>
      <c r="T1312" s="68" t="n"/>
      <c r="V1312" s="32">
        <f>IF($M1312="","",IF($M1312=0,"Out of stock",IF(OR($P1312="",$Q1312=""),"No window",IF(YEAR(TODAY())&lt;$P1312,"Too young",IF(YEAR(TODAY())&gt;$Q1312,"Past peak",IF(YEAR(TODAY())=$Q1312,"Drink now","Ready"))))))</f>
        <v/>
      </c>
    </row>
    <row r="1313">
      <c r="A1313" s="32">
        <f>IF($B1313="","",IFERROR(IMAGE($B1313,4,60,60),""))</f>
        <v/>
      </c>
      <c r="T1313" s="68" t="n"/>
      <c r="V1313" s="32">
        <f>IF($M1313="","",IF($M1313=0,"Out of stock",IF(OR($P1313="",$Q1313=""),"No window",IF(YEAR(TODAY())&lt;$P1313,"Too young",IF(YEAR(TODAY())&gt;$Q1313,"Past peak",IF(YEAR(TODAY())=$Q1313,"Drink now","Ready"))))))</f>
        <v/>
      </c>
    </row>
    <row r="1314">
      <c r="A1314" s="32">
        <f>IF($B1314="","",IFERROR(IMAGE($B1314,4,60,60),""))</f>
        <v/>
      </c>
      <c r="T1314" s="68" t="n"/>
      <c r="V1314" s="32">
        <f>IF($M1314="","",IF($M1314=0,"Out of stock",IF(OR($P1314="",$Q1314=""),"No window",IF(YEAR(TODAY())&lt;$P1314,"Too young",IF(YEAR(TODAY())&gt;$Q1314,"Past peak",IF(YEAR(TODAY())=$Q1314,"Drink now","Ready"))))))</f>
        <v/>
      </c>
    </row>
    <row r="1315">
      <c r="A1315" s="32">
        <f>IF($B1315="","",IFERROR(IMAGE($B1315,4,60,60),""))</f>
        <v/>
      </c>
      <c r="T1315" s="68" t="n"/>
      <c r="V1315" s="32">
        <f>IF($M1315="","",IF($M1315=0,"Out of stock",IF(OR($P1315="",$Q1315=""),"No window",IF(YEAR(TODAY())&lt;$P1315,"Too young",IF(YEAR(TODAY())&gt;$Q1315,"Past peak",IF(YEAR(TODAY())=$Q1315,"Drink now","Ready"))))))</f>
        <v/>
      </c>
    </row>
    <row r="1316">
      <c r="A1316" s="32">
        <f>IF($B1316="","",IFERROR(IMAGE($B1316,4,60,60),""))</f>
        <v/>
      </c>
      <c r="T1316" s="68" t="n"/>
      <c r="V1316" s="32">
        <f>IF($M1316="","",IF($M1316=0,"Out of stock",IF(OR($P1316="",$Q1316=""),"No window",IF(YEAR(TODAY())&lt;$P1316,"Too young",IF(YEAR(TODAY())&gt;$Q1316,"Past peak",IF(YEAR(TODAY())=$Q1316,"Drink now","Ready"))))))</f>
        <v/>
      </c>
    </row>
    <row r="1317">
      <c r="A1317" s="32">
        <f>IF($B1317="","",IFERROR(IMAGE($B1317,4,60,60),""))</f>
        <v/>
      </c>
      <c r="T1317" s="68" t="n"/>
      <c r="V1317" s="32">
        <f>IF($M1317="","",IF($M1317=0,"Out of stock",IF(OR($P1317="",$Q1317=""),"No window",IF(YEAR(TODAY())&lt;$P1317,"Too young",IF(YEAR(TODAY())&gt;$Q1317,"Past peak",IF(YEAR(TODAY())=$Q1317,"Drink now","Ready"))))))</f>
        <v/>
      </c>
    </row>
    <row r="1318">
      <c r="A1318" s="32">
        <f>IF($B1318="","",IFERROR(IMAGE($B1318,4,60,60),""))</f>
        <v/>
      </c>
      <c r="T1318" s="68" t="n"/>
      <c r="V1318" s="32">
        <f>IF($M1318="","",IF($M1318=0,"Out of stock",IF(OR($P1318="",$Q1318=""),"No window",IF(YEAR(TODAY())&lt;$P1318,"Too young",IF(YEAR(TODAY())&gt;$Q1318,"Past peak",IF(YEAR(TODAY())=$Q1318,"Drink now","Ready"))))))</f>
        <v/>
      </c>
    </row>
    <row r="1319">
      <c r="A1319" s="32">
        <f>IF($B1319="","",IFERROR(IMAGE($B1319,4,60,60),""))</f>
        <v/>
      </c>
      <c r="T1319" s="68" t="n"/>
      <c r="V1319" s="32">
        <f>IF($M1319="","",IF($M1319=0,"Out of stock",IF(OR($P1319="",$Q1319=""),"No window",IF(YEAR(TODAY())&lt;$P1319,"Too young",IF(YEAR(TODAY())&gt;$Q1319,"Past peak",IF(YEAR(TODAY())=$Q1319,"Drink now","Ready"))))))</f>
        <v/>
      </c>
    </row>
    <row r="1320">
      <c r="A1320" s="32">
        <f>IF($B1320="","",IFERROR(IMAGE($B1320,4,60,60),""))</f>
        <v/>
      </c>
      <c r="T1320" s="68" t="n"/>
      <c r="V1320" s="32">
        <f>IF($M1320="","",IF($M1320=0,"Out of stock",IF(OR($P1320="",$Q1320=""),"No window",IF(YEAR(TODAY())&lt;$P1320,"Too young",IF(YEAR(TODAY())&gt;$Q1320,"Past peak",IF(YEAR(TODAY())=$Q1320,"Drink now","Ready"))))))</f>
        <v/>
      </c>
    </row>
    <row r="1321">
      <c r="A1321" s="32">
        <f>IF($B1321="","",IFERROR(IMAGE($B1321,4,60,60),""))</f>
        <v/>
      </c>
      <c r="T1321" s="68" t="n"/>
      <c r="V1321" s="32">
        <f>IF($M1321="","",IF($M1321=0,"Out of stock",IF(OR($P1321="",$Q1321=""),"No window",IF(YEAR(TODAY())&lt;$P1321,"Too young",IF(YEAR(TODAY())&gt;$Q1321,"Past peak",IF(YEAR(TODAY())=$Q1321,"Drink now","Ready"))))))</f>
        <v/>
      </c>
    </row>
    <row r="1322">
      <c r="A1322" s="32">
        <f>IF($B1322="","",IFERROR(IMAGE($B1322,4,60,60),""))</f>
        <v/>
      </c>
      <c r="T1322" s="68" t="n"/>
      <c r="V1322" s="32">
        <f>IF($M1322="","",IF($M1322=0,"Out of stock",IF(OR($P1322="",$Q1322=""),"No window",IF(YEAR(TODAY())&lt;$P1322,"Too young",IF(YEAR(TODAY())&gt;$Q1322,"Past peak",IF(YEAR(TODAY())=$Q1322,"Drink now","Ready"))))))</f>
        <v/>
      </c>
    </row>
    <row r="1323">
      <c r="A1323" s="32">
        <f>IF($B1323="","",IFERROR(IMAGE($B1323,4,60,60),""))</f>
        <v/>
      </c>
      <c r="T1323" s="68" t="n"/>
      <c r="V1323" s="32">
        <f>IF($M1323="","",IF($M1323=0,"Out of stock",IF(OR($P1323="",$Q1323=""),"No window",IF(YEAR(TODAY())&lt;$P1323,"Too young",IF(YEAR(TODAY())&gt;$Q1323,"Past peak",IF(YEAR(TODAY())=$Q1323,"Drink now","Ready"))))))</f>
        <v/>
      </c>
    </row>
    <row r="1324">
      <c r="A1324" s="32">
        <f>IF($B1324="","",IFERROR(IMAGE($B1324,4,60,60),""))</f>
        <v/>
      </c>
      <c r="T1324" s="68" t="n"/>
      <c r="V1324" s="32">
        <f>IF($M1324="","",IF($M1324=0,"Out of stock",IF(OR($P1324="",$Q1324=""),"No window",IF(YEAR(TODAY())&lt;$P1324,"Too young",IF(YEAR(TODAY())&gt;$Q1324,"Past peak",IF(YEAR(TODAY())=$Q1324,"Drink now","Ready"))))))</f>
        <v/>
      </c>
    </row>
    <row r="1325">
      <c r="A1325" s="32">
        <f>IF($B1325="","",IFERROR(IMAGE($B1325,4,60,60),""))</f>
        <v/>
      </c>
      <c r="T1325" s="68" t="n"/>
      <c r="V1325" s="32">
        <f>IF($M1325="","",IF($M1325=0,"Out of stock",IF(OR($P1325="",$Q1325=""),"No window",IF(YEAR(TODAY())&lt;$P1325,"Too young",IF(YEAR(TODAY())&gt;$Q1325,"Past peak",IF(YEAR(TODAY())=$Q1325,"Drink now","Ready"))))))</f>
        <v/>
      </c>
    </row>
    <row r="1326">
      <c r="A1326" s="32">
        <f>IF($B1326="","",IFERROR(IMAGE($B1326,4,60,60),""))</f>
        <v/>
      </c>
      <c r="T1326" s="68" t="n"/>
      <c r="V1326" s="32">
        <f>IF($M1326="","",IF($M1326=0,"Out of stock",IF(OR($P1326="",$Q1326=""),"No window",IF(YEAR(TODAY())&lt;$P1326,"Too young",IF(YEAR(TODAY())&gt;$Q1326,"Past peak",IF(YEAR(TODAY())=$Q1326,"Drink now","Ready"))))))</f>
        <v/>
      </c>
    </row>
    <row r="1327">
      <c r="A1327" s="32">
        <f>IF($B1327="","",IFERROR(IMAGE($B1327,4,60,60),""))</f>
        <v/>
      </c>
      <c r="T1327" s="68" t="n"/>
      <c r="V1327" s="32">
        <f>IF($M1327="","",IF($M1327=0,"Out of stock",IF(OR($P1327="",$Q1327=""),"No window",IF(YEAR(TODAY())&lt;$P1327,"Too young",IF(YEAR(TODAY())&gt;$Q1327,"Past peak",IF(YEAR(TODAY())=$Q1327,"Drink now","Ready"))))))</f>
        <v/>
      </c>
    </row>
    <row r="1328">
      <c r="A1328" s="32">
        <f>IF($B1328="","",IFERROR(IMAGE($B1328,4,60,60),""))</f>
        <v/>
      </c>
      <c r="T1328" s="68" t="n"/>
      <c r="V1328" s="32">
        <f>IF($M1328="","",IF($M1328=0,"Out of stock",IF(OR($P1328="",$Q1328=""),"No window",IF(YEAR(TODAY())&lt;$P1328,"Too young",IF(YEAR(TODAY())&gt;$Q1328,"Past peak",IF(YEAR(TODAY())=$Q1328,"Drink now","Ready"))))))</f>
        <v/>
      </c>
    </row>
    <row r="1329">
      <c r="A1329" s="32">
        <f>IF($B1329="","",IFERROR(IMAGE($B1329,4,60,60),""))</f>
        <v/>
      </c>
      <c r="T1329" s="68" t="n"/>
      <c r="V1329" s="32">
        <f>IF($M1329="","",IF($M1329=0,"Out of stock",IF(OR($P1329="",$Q1329=""),"No window",IF(YEAR(TODAY())&lt;$P1329,"Too young",IF(YEAR(TODAY())&gt;$Q1329,"Past peak",IF(YEAR(TODAY())=$Q1329,"Drink now","Ready"))))))</f>
        <v/>
      </c>
    </row>
    <row r="1330">
      <c r="A1330" s="32">
        <f>IF($B1330="","",IFERROR(IMAGE($B1330,4,60,60),""))</f>
        <v/>
      </c>
      <c r="T1330" s="68" t="n"/>
      <c r="V1330" s="32">
        <f>IF($M1330="","",IF($M1330=0,"Out of stock",IF(OR($P1330="",$Q1330=""),"No window",IF(YEAR(TODAY())&lt;$P1330,"Too young",IF(YEAR(TODAY())&gt;$Q1330,"Past peak",IF(YEAR(TODAY())=$Q1330,"Drink now","Ready"))))))</f>
        <v/>
      </c>
    </row>
    <row r="1331">
      <c r="A1331" s="32">
        <f>IF($B1331="","",IFERROR(IMAGE($B1331,4,60,60),""))</f>
        <v/>
      </c>
      <c r="T1331" s="68" t="n"/>
      <c r="V1331" s="32">
        <f>IF($M1331="","",IF($M1331=0,"Out of stock",IF(OR($P1331="",$Q1331=""),"No window",IF(YEAR(TODAY())&lt;$P1331,"Too young",IF(YEAR(TODAY())&gt;$Q1331,"Past peak",IF(YEAR(TODAY())=$Q1331,"Drink now","Ready"))))))</f>
        <v/>
      </c>
    </row>
    <row r="1332">
      <c r="A1332" s="32">
        <f>IF($B1332="","",IFERROR(IMAGE($B1332,4,60,60),""))</f>
        <v/>
      </c>
      <c r="T1332" s="68" t="n"/>
      <c r="V1332" s="32">
        <f>IF($M1332="","",IF($M1332=0,"Out of stock",IF(OR($P1332="",$Q1332=""),"No window",IF(YEAR(TODAY())&lt;$P1332,"Too young",IF(YEAR(TODAY())&gt;$Q1332,"Past peak",IF(YEAR(TODAY())=$Q1332,"Drink now","Ready"))))))</f>
        <v/>
      </c>
    </row>
    <row r="1333">
      <c r="A1333" s="32">
        <f>IF($B1333="","",IFERROR(IMAGE($B1333,4,60,60),""))</f>
        <v/>
      </c>
      <c r="T1333" s="68" t="n"/>
      <c r="V1333" s="32">
        <f>IF($M1333="","",IF($M1333=0,"Out of stock",IF(OR($P1333="",$Q1333=""),"No window",IF(YEAR(TODAY())&lt;$P1333,"Too young",IF(YEAR(TODAY())&gt;$Q1333,"Past peak",IF(YEAR(TODAY())=$Q1333,"Drink now","Ready"))))))</f>
        <v/>
      </c>
    </row>
    <row r="1334">
      <c r="A1334" s="32">
        <f>IF($B1334="","",IFERROR(IMAGE($B1334,4,60,60),""))</f>
        <v/>
      </c>
      <c r="T1334" s="68" t="n"/>
      <c r="V1334" s="32">
        <f>IF($M1334="","",IF($M1334=0,"Out of stock",IF(OR($P1334="",$Q1334=""),"No window",IF(YEAR(TODAY())&lt;$P1334,"Too young",IF(YEAR(TODAY())&gt;$Q1334,"Past peak",IF(YEAR(TODAY())=$Q1334,"Drink now","Ready"))))))</f>
        <v/>
      </c>
    </row>
    <row r="1335">
      <c r="A1335" s="32">
        <f>IF($B1335="","",IFERROR(IMAGE($B1335,4,60,60),""))</f>
        <v/>
      </c>
      <c r="T1335" s="68" t="n"/>
      <c r="V1335" s="32">
        <f>IF($M1335="","",IF($M1335=0,"Out of stock",IF(OR($P1335="",$Q1335=""),"No window",IF(YEAR(TODAY())&lt;$P1335,"Too young",IF(YEAR(TODAY())&gt;$Q1335,"Past peak",IF(YEAR(TODAY())=$Q1335,"Drink now","Ready"))))))</f>
        <v/>
      </c>
    </row>
    <row r="1336">
      <c r="A1336" s="32">
        <f>IF($B1336="","",IFERROR(IMAGE($B1336,4,60,60),""))</f>
        <v/>
      </c>
      <c r="T1336" s="68" t="n"/>
      <c r="V1336" s="32">
        <f>IF($M1336="","",IF($M1336=0,"Out of stock",IF(OR($P1336="",$Q1336=""),"No window",IF(YEAR(TODAY())&lt;$P1336,"Too young",IF(YEAR(TODAY())&gt;$Q1336,"Past peak",IF(YEAR(TODAY())=$Q1336,"Drink now","Ready"))))))</f>
        <v/>
      </c>
    </row>
    <row r="1337">
      <c r="A1337" s="32">
        <f>IF($B1337="","",IFERROR(IMAGE($B1337,4,60,60),""))</f>
        <v/>
      </c>
      <c r="T1337" s="68" t="n"/>
      <c r="V1337" s="32">
        <f>IF($M1337="","",IF($M1337=0,"Out of stock",IF(OR($P1337="",$Q1337=""),"No window",IF(YEAR(TODAY())&lt;$P1337,"Too young",IF(YEAR(TODAY())&gt;$Q1337,"Past peak",IF(YEAR(TODAY())=$Q1337,"Drink now","Ready"))))))</f>
        <v/>
      </c>
    </row>
    <row r="1338">
      <c r="A1338" s="32">
        <f>IF($B1338="","",IFERROR(IMAGE($B1338,4,60,60),""))</f>
        <v/>
      </c>
      <c r="T1338" s="68" t="n"/>
      <c r="V1338" s="32">
        <f>IF($M1338="","",IF($M1338=0,"Out of stock",IF(OR($P1338="",$Q1338=""),"No window",IF(YEAR(TODAY())&lt;$P1338,"Too young",IF(YEAR(TODAY())&gt;$Q1338,"Past peak",IF(YEAR(TODAY())=$Q1338,"Drink now","Ready"))))))</f>
        <v/>
      </c>
    </row>
    <row r="1339">
      <c r="A1339" s="32">
        <f>IF($B1339="","",IFERROR(IMAGE($B1339,4,60,60),""))</f>
        <v/>
      </c>
      <c r="T1339" s="68" t="n"/>
      <c r="V1339" s="32">
        <f>IF($M1339="","",IF($M1339=0,"Out of stock",IF(OR($P1339="",$Q1339=""),"No window",IF(YEAR(TODAY())&lt;$P1339,"Too young",IF(YEAR(TODAY())&gt;$Q1339,"Past peak",IF(YEAR(TODAY())=$Q1339,"Drink now","Ready"))))))</f>
        <v/>
      </c>
    </row>
    <row r="1340">
      <c r="A1340" s="32">
        <f>IF($B1340="","",IFERROR(IMAGE($B1340,4,60,60),""))</f>
        <v/>
      </c>
      <c r="T1340" s="68" t="n"/>
      <c r="V1340" s="32">
        <f>IF($M1340="","",IF($M1340=0,"Out of stock",IF(OR($P1340="",$Q1340=""),"No window",IF(YEAR(TODAY())&lt;$P1340,"Too young",IF(YEAR(TODAY())&gt;$Q1340,"Past peak",IF(YEAR(TODAY())=$Q1340,"Drink now","Ready"))))))</f>
        <v/>
      </c>
    </row>
    <row r="1341">
      <c r="A1341" s="32">
        <f>IF($B1341="","",IFERROR(IMAGE($B1341,4,60,60),""))</f>
        <v/>
      </c>
      <c r="T1341" s="68" t="n"/>
      <c r="V1341" s="32">
        <f>IF($M1341="","",IF($M1341=0,"Out of stock",IF(OR($P1341="",$Q1341=""),"No window",IF(YEAR(TODAY())&lt;$P1341,"Too young",IF(YEAR(TODAY())&gt;$Q1341,"Past peak",IF(YEAR(TODAY())=$Q1341,"Drink now","Ready"))))))</f>
        <v/>
      </c>
    </row>
    <row r="1342">
      <c r="A1342" s="32">
        <f>IF($B1342="","",IFERROR(IMAGE($B1342,4,60,60),""))</f>
        <v/>
      </c>
      <c r="T1342" s="68" t="n"/>
      <c r="V1342" s="32">
        <f>IF($M1342="","",IF($M1342=0,"Out of stock",IF(OR($P1342="",$Q1342=""),"No window",IF(YEAR(TODAY())&lt;$P1342,"Too young",IF(YEAR(TODAY())&gt;$Q1342,"Past peak",IF(YEAR(TODAY())=$Q1342,"Drink now","Ready"))))))</f>
        <v/>
      </c>
    </row>
    <row r="1343">
      <c r="A1343" s="32">
        <f>IF($B1343="","",IFERROR(IMAGE($B1343,4,60,60),""))</f>
        <v/>
      </c>
      <c r="T1343" s="68" t="n"/>
      <c r="V1343" s="32">
        <f>IF($M1343="","",IF($M1343=0,"Out of stock",IF(OR($P1343="",$Q1343=""),"No window",IF(YEAR(TODAY())&lt;$P1343,"Too young",IF(YEAR(TODAY())&gt;$Q1343,"Past peak",IF(YEAR(TODAY())=$Q1343,"Drink now","Ready"))))))</f>
        <v/>
      </c>
    </row>
    <row r="1344">
      <c r="A1344" s="32">
        <f>IF($B1344="","",IFERROR(IMAGE($B1344,4,60,60),""))</f>
        <v/>
      </c>
      <c r="T1344" s="68" t="n"/>
      <c r="V1344" s="32">
        <f>IF($M1344="","",IF($M1344=0,"Out of stock",IF(OR($P1344="",$Q1344=""),"No window",IF(YEAR(TODAY())&lt;$P1344,"Too young",IF(YEAR(TODAY())&gt;$Q1344,"Past peak",IF(YEAR(TODAY())=$Q1344,"Drink now","Ready"))))))</f>
        <v/>
      </c>
    </row>
    <row r="1345">
      <c r="A1345" s="32">
        <f>IF($B1345="","",IFERROR(IMAGE($B1345,4,60,60),""))</f>
        <v/>
      </c>
      <c r="T1345" s="68" t="n"/>
      <c r="V1345" s="32">
        <f>IF($M1345="","",IF($M1345=0,"Out of stock",IF(OR($P1345="",$Q1345=""),"No window",IF(YEAR(TODAY())&lt;$P1345,"Too young",IF(YEAR(TODAY())&gt;$Q1345,"Past peak",IF(YEAR(TODAY())=$Q1345,"Drink now","Ready"))))))</f>
        <v/>
      </c>
    </row>
    <row r="1346">
      <c r="A1346" s="32">
        <f>IF($B1346="","",IFERROR(IMAGE($B1346,4,60,60),""))</f>
        <v/>
      </c>
      <c r="T1346" s="68" t="n"/>
      <c r="V1346" s="32">
        <f>IF($M1346="","",IF($M1346=0,"Out of stock",IF(OR($P1346="",$Q1346=""),"No window",IF(YEAR(TODAY())&lt;$P1346,"Too young",IF(YEAR(TODAY())&gt;$Q1346,"Past peak",IF(YEAR(TODAY())=$Q1346,"Drink now","Ready"))))))</f>
        <v/>
      </c>
    </row>
    <row r="1347">
      <c r="A1347" s="32">
        <f>IF($B1347="","",IFERROR(IMAGE($B1347,4,60,60),""))</f>
        <v/>
      </c>
      <c r="T1347" s="68" t="n"/>
      <c r="V1347" s="32">
        <f>IF($M1347="","",IF($M1347=0,"Out of stock",IF(OR($P1347="",$Q1347=""),"No window",IF(YEAR(TODAY())&lt;$P1347,"Too young",IF(YEAR(TODAY())&gt;$Q1347,"Past peak",IF(YEAR(TODAY())=$Q1347,"Drink now","Ready"))))))</f>
        <v/>
      </c>
    </row>
    <row r="1348">
      <c r="A1348" s="32">
        <f>IF($B1348="","",IFERROR(IMAGE($B1348,4,60,60),""))</f>
        <v/>
      </c>
      <c r="T1348" s="68" t="n"/>
      <c r="V1348" s="32">
        <f>IF($M1348="","",IF($M1348=0,"Out of stock",IF(OR($P1348="",$Q1348=""),"No window",IF(YEAR(TODAY())&lt;$P1348,"Too young",IF(YEAR(TODAY())&gt;$Q1348,"Past peak",IF(YEAR(TODAY())=$Q1348,"Drink now","Ready"))))))</f>
        <v/>
      </c>
    </row>
    <row r="1349">
      <c r="A1349" s="32">
        <f>IF($B1349="","",IFERROR(IMAGE($B1349,4,60,60),""))</f>
        <v/>
      </c>
      <c r="T1349" s="68" t="n"/>
      <c r="V1349" s="32">
        <f>IF($M1349="","",IF($M1349=0,"Out of stock",IF(OR($P1349="",$Q1349=""),"No window",IF(YEAR(TODAY())&lt;$P1349,"Too young",IF(YEAR(TODAY())&gt;$Q1349,"Past peak",IF(YEAR(TODAY())=$Q1349,"Drink now","Ready"))))))</f>
        <v/>
      </c>
    </row>
    <row r="1350">
      <c r="A1350" s="32">
        <f>IF($B1350="","",IFERROR(IMAGE($B1350,4,60,60),""))</f>
        <v/>
      </c>
      <c r="T1350" s="68" t="n"/>
      <c r="V1350" s="32">
        <f>IF($M1350="","",IF($M1350=0,"Out of stock",IF(OR($P1350="",$Q1350=""),"No window",IF(YEAR(TODAY())&lt;$P1350,"Too young",IF(YEAR(TODAY())&gt;$Q1350,"Past peak",IF(YEAR(TODAY())=$Q1350,"Drink now","Ready"))))))</f>
        <v/>
      </c>
    </row>
    <row r="1351">
      <c r="A1351" s="32">
        <f>IF($B1351="","",IFERROR(IMAGE($B1351,4,60,60),""))</f>
        <v/>
      </c>
      <c r="T1351" s="68" t="n"/>
      <c r="V1351" s="32">
        <f>IF($M1351="","",IF($M1351=0,"Out of stock",IF(OR($P1351="",$Q1351=""),"No window",IF(YEAR(TODAY())&lt;$P1351,"Too young",IF(YEAR(TODAY())&gt;$Q1351,"Past peak",IF(YEAR(TODAY())=$Q1351,"Drink now","Ready"))))))</f>
        <v/>
      </c>
    </row>
    <row r="1352">
      <c r="A1352" s="32">
        <f>IF($B1352="","",IFERROR(IMAGE($B1352,4,60,60),""))</f>
        <v/>
      </c>
      <c r="T1352" s="68" t="n"/>
      <c r="V1352" s="32">
        <f>IF($M1352="","",IF($M1352=0,"Out of stock",IF(OR($P1352="",$Q1352=""),"No window",IF(YEAR(TODAY())&lt;$P1352,"Too young",IF(YEAR(TODAY())&gt;$Q1352,"Past peak",IF(YEAR(TODAY())=$Q1352,"Drink now","Ready"))))))</f>
        <v/>
      </c>
    </row>
    <row r="1353">
      <c r="A1353" s="32">
        <f>IF($B1353="","",IFERROR(IMAGE($B1353,4,60,60),""))</f>
        <v/>
      </c>
      <c r="T1353" s="68" t="n"/>
      <c r="V1353" s="32">
        <f>IF($M1353="","",IF($M1353=0,"Out of stock",IF(OR($P1353="",$Q1353=""),"No window",IF(YEAR(TODAY())&lt;$P1353,"Too young",IF(YEAR(TODAY())&gt;$Q1353,"Past peak",IF(YEAR(TODAY())=$Q1353,"Drink now","Ready"))))))</f>
        <v/>
      </c>
    </row>
    <row r="1354">
      <c r="A1354" s="32">
        <f>IF($B1354="","",IFERROR(IMAGE($B1354,4,60,60),""))</f>
        <v/>
      </c>
      <c r="T1354" s="68" t="n"/>
      <c r="V1354" s="32">
        <f>IF($M1354="","",IF($M1354=0,"Out of stock",IF(OR($P1354="",$Q1354=""),"No window",IF(YEAR(TODAY())&lt;$P1354,"Too young",IF(YEAR(TODAY())&gt;$Q1354,"Past peak",IF(YEAR(TODAY())=$Q1354,"Drink now","Ready"))))))</f>
        <v/>
      </c>
    </row>
    <row r="1355">
      <c r="A1355" s="32">
        <f>IF($B1355="","",IFERROR(IMAGE($B1355,4,60,60),""))</f>
        <v/>
      </c>
      <c r="T1355" s="68" t="n"/>
      <c r="V1355" s="32">
        <f>IF($M1355="","",IF($M1355=0,"Out of stock",IF(OR($P1355="",$Q1355=""),"No window",IF(YEAR(TODAY())&lt;$P1355,"Too young",IF(YEAR(TODAY())&gt;$Q1355,"Past peak",IF(YEAR(TODAY())=$Q1355,"Drink now","Ready"))))))</f>
        <v/>
      </c>
    </row>
    <row r="1356">
      <c r="A1356" s="32">
        <f>IF($B1356="","",IFERROR(IMAGE($B1356,4,60,60),""))</f>
        <v/>
      </c>
      <c r="T1356" s="68" t="n"/>
      <c r="V1356" s="32">
        <f>IF($M1356="","",IF($M1356=0,"Out of stock",IF(OR($P1356="",$Q1356=""),"No window",IF(YEAR(TODAY())&lt;$P1356,"Too young",IF(YEAR(TODAY())&gt;$Q1356,"Past peak",IF(YEAR(TODAY())=$Q1356,"Drink now","Ready"))))))</f>
        <v/>
      </c>
    </row>
    <row r="1357">
      <c r="A1357" s="32">
        <f>IF($B1357="","",IFERROR(IMAGE($B1357,4,60,60),""))</f>
        <v/>
      </c>
      <c r="T1357" s="68" t="n"/>
      <c r="V1357" s="32">
        <f>IF($M1357="","",IF($M1357=0,"Out of stock",IF(OR($P1357="",$Q1357=""),"No window",IF(YEAR(TODAY())&lt;$P1357,"Too young",IF(YEAR(TODAY())&gt;$Q1357,"Past peak",IF(YEAR(TODAY())=$Q1357,"Drink now","Ready"))))))</f>
        <v/>
      </c>
    </row>
    <row r="1358">
      <c r="A1358" s="32">
        <f>IF($B1358="","",IFERROR(IMAGE($B1358,4,60,60),""))</f>
        <v/>
      </c>
      <c r="T1358" s="68" t="n"/>
      <c r="V1358" s="32">
        <f>IF($M1358="","",IF($M1358=0,"Out of stock",IF(OR($P1358="",$Q1358=""),"No window",IF(YEAR(TODAY())&lt;$P1358,"Too young",IF(YEAR(TODAY())&gt;$Q1358,"Past peak",IF(YEAR(TODAY())=$Q1358,"Drink now","Ready"))))))</f>
        <v/>
      </c>
    </row>
    <row r="1359">
      <c r="A1359" s="32">
        <f>IF($B1359="","",IFERROR(IMAGE($B1359,4,60,60),""))</f>
        <v/>
      </c>
      <c r="T1359" s="68" t="n"/>
      <c r="V1359" s="32">
        <f>IF($M1359="","",IF($M1359=0,"Out of stock",IF(OR($P1359="",$Q1359=""),"No window",IF(YEAR(TODAY())&lt;$P1359,"Too young",IF(YEAR(TODAY())&gt;$Q1359,"Past peak",IF(YEAR(TODAY())=$Q1359,"Drink now","Ready"))))))</f>
        <v/>
      </c>
    </row>
    <row r="1360">
      <c r="A1360" s="32">
        <f>IF($B1360="","",IFERROR(IMAGE($B1360,4,60,60),""))</f>
        <v/>
      </c>
      <c r="T1360" s="68" t="n"/>
      <c r="V1360" s="32">
        <f>IF($M1360="","",IF($M1360=0,"Out of stock",IF(OR($P1360="",$Q1360=""),"No window",IF(YEAR(TODAY())&lt;$P1360,"Too young",IF(YEAR(TODAY())&gt;$Q1360,"Past peak",IF(YEAR(TODAY())=$Q1360,"Drink now","Ready"))))))</f>
        <v/>
      </c>
    </row>
    <row r="1361">
      <c r="A1361" s="32">
        <f>IF($B1361="","",IFERROR(IMAGE($B1361,4,60,60),""))</f>
        <v/>
      </c>
      <c r="T1361" s="68" t="n"/>
      <c r="V1361" s="32">
        <f>IF($M1361="","",IF($M1361=0,"Out of stock",IF(OR($P1361="",$Q1361=""),"No window",IF(YEAR(TODAY())&lt;$P1361,"Too young",IF(YEAR(TODAY())&gt;$Q1361,"Past peak",IF(YEAR(TODAY())=$Q1361,"Drink now","Ready"))))))</f>
        <v/>
      </c>
    </row>
    <row r="1362">
      <c r="A1362" s="32">
        <f>IF($B1362="","",IFERROR(IMAGE($B1362,4,60,60),""))</f>
        <v/>
      </c>
      <c r="T1362" s="68" t="n"/>
      <c r="V1362" s="32">
        <f>IF($M1362="","",IF($M1362=0,"Out of stock",IF(OR($P1362="",$Q1362=""),"No window",IF(YEAR(TODAY())&lt;$P1362,"Too young",IF(YEAR(TODAY())&gt;$Q1362,"Past peak",IF(YEAR(TODAY())=$Q1362,"Drink now","Ready"))))))</f>
        <v/>
      </c>
    </row>
    <row r="1363">
      <c r="A1363" s="32">
        <f>IF($B1363="","",IFERROR(IMAGE($B1363,4,60,60),""))</f>
        <v/>
      </c>
      <c r="T1363" s="68" t="n"/>
      <c r="V1363" s="32">
        <f>IF($M1363="","",IF($M1363=0,"Out of stock",IF(OR($P1363="",$Q1363=""),"No window",IF(YEAR(TODAY())&lt;$P1363,"Too young",IF(YEAR(TODAY())&gt;$Q1363,"Past peak",IF(YEAR(TODAY())=$Q1363,"Drink now","Ready"))))))</f>
        <v/>
      </c>
    </row>
    <row r="1364">
      <c r="A1364" s="32">
        <f>IF($B1364="","",IFERROR(IMAGE($B1364,4,60,60),""))</f>
        <v/>
      </c>
      <c r="T1364" s="68" t="n"/>
      <c r="V1364" s="32">
        <f>IF($M1364="","",IF($M1364=0,"Out of stock",IF(OR($P1364="",$Q1364=""),"No window",IF(YEAR(TODAY())&lt;$P1364,"Too young",IF(YEAR(TODAY())&gt;$Q1364,"Past peak",IF(YEAR(TODAY())=$Q1364,"Drink now","Ready"))))))</f>
        <v/>
      </c>
    </row>
    <row r="1365">
      <c r="A1365" s="32">
        <f>IF($B1365="","",IFERROR(IMAGE($B1365,4,60,60),""))</f>
        <v/>
      </c>
      <c r="T1365" s="68" t="n"/>
      <c r="V1365" s="32">
        <f>IF($M1365="","",IF($M1365=0,"Out of stock",IF(OR($P1365="",$Q1365=""),"No window",IF(YEAR(TODAY())&lt;$P1365,"Too young",IF(YEAR(TODAY())&gt;$Q1365,"Past peak",IF(YEAR(TODAY())=$Q1365,"Drink now","Ready"))))))</f>
        <v/>
      </c>
    </row>
    <row r="1366">
      <c r="A1366" s="32">
        <f>IF($B1366="","",IFERROR(IMAGE($B1366,4,60,60),""))</f>
        <v/>
      </c>
      <c r="T1366" s="68" t="n"/>
      <c r="V1366" s="32">
        <f>IF($M1366="","",IF($M1366=0,"Out of stock",IF(OR($P1366="",$Q1366=""),"No window",IF(YEAR(TODAY())&lt;$P1366,"Too young",IF(YEAR(TODAY())&gt;$Q1366,"Past peak",IF(YEAR(TODAY())=$Q1366,"Drink now","Ready"))))))</f>
        <v/>
      </c>
    </row>
    <row r="1367">
      <c r="A1367" s="32">
        <f>IF($B1367="","",IFERROR(IMAGE($B1367,4,60,60),""))</f>
        <v/>
      </c>
      <c r="T1367" s="68" t="n"/>
      <c r="V1367" s="32">
        <f>IF($M1367="","",IF($M1367=0,"Out of stock",IF(OR($P1367="",$Q1367=""),"No window",IF(YEAR(TODAY())&lt;$P1367,"Too young",IF(YEAR(TODAY())&gt;$Q1367,"Past peak",IF(YEAR(TODAY())=$Q1367,"Drink now","Ready"))))))</f>
        <v/>
      </c>
    </row>
    <row r="1368">
      <c r="A1368" s="32">
        <f>IF($B1368="","",IFERROR(IMAGE($B1368,4,60,60),""))</f>
        <v/>
      </c>
      <c r="T1368" s="68" t="n"/>
      <c r="V1368" s="32">
        <f>IF($M1368="","",IF($M1368=0,"Out of stock",IF(OR($P1368="",$Q1368=""),"No window",IF(YEAR(TODAY())&lt;$P1368,"Too young",IF(YEAR(TODAY())&gt;$Q1368,"Past peak",IF(YEAR(TODAY())=$Q1368,"Drink now","Ready"))))))</f>
        <v/>
      </c>
    </row>
    <row r="1369">
      <c r="A1369" s="32">
        <f>IF($B1369="","",IFERROR(IMAGE($B1369,4,60,60),""))</f>
        <v/>
      </c>
      <c r="T1369" s="68" t="n"/>
      <c r="V1369" s="32">
        <f>IF($M1369="","",IF($M1369=0,"Out of stock",IF(OR($P1369="",$Q1369=""),"No window",IF(YEAR(TODAY())&lt;$P1369,"Too young",IF(YEAR(TODAY())&gt;$Q1369,"Past peak",IF(YEAR(TODAY())=$Q1369,"Drink now","Ready"))))))</f>
        <v/>
      </c>
    </row>
    <row r="1370">
      <c r="A1370" s="32">
        <f>IF($B1370="","",IFERROR(IMAGE($B1370,4,60,60),""))</f>
        <v/>
      </c>
      <c r="T1370" s="68" t="n"/>
      <c r="V1370" s="32">
        <f>IF($M1370="","",IF($M1370=0,"Out of stock",IF(OR($P1370="",$Q1370=""),"No window",IF(YEAR(TODAY())&lt;$P1370,"Too young",IF(YEAR(TODAY())&gt;$Q1370,"Past peak",IF(YEAR(TODAY())=$Q1370,"Drink now","Ready"))))))</f>
        <v/>
      </c>
    </row>
    <row r="1371">
      <c r="A1371" s="32">
        <f>IF($B1371="","",IFERROR(IMAGE($B1371,4,60,60),""))</f>
        <v/>
      </c>
      <c r="T1371" s="68" t="n"/>
      <c r="V1371" s="32">
        <f>IF($M1371="","",IF($M1371=0,"Out of stock",IF(OR($P1371="",$Q1371=""),"No window",IF(YEAR(TODAY())&lt;$P1371,"Too young",IF(YEAR(TODAY())&gt;$Q1371,"Past peak",IF(YEAR(TODAY())=$Q1371,"Drink now","Ready"))))))</f>
        <v/>
      </c>
    </row>
    <row r="1372">
      <c r="A1372" s="32">
        <f>IF($B1372="","",IFERROR(IMAGE($B1372,4,60,60),""))</f>
        <v/>
      </c>
      <c r="T1372" s="68" t="n"/>
      <c r="V1372" s="32">
        <f>IF($M1372="","",IF($M1372=0,"Out of stock",IF(OR($P1372="",$Q1372=""),"No window",IF(YEAR(TODAY())&lt;$P1372,"Too young",IF(YEAR(TODAY())&gt;$Q1372,"Past peak",IF(YEAR(TODAY())=$Q1372,"Drink now","Ready"))))))</f>
        <v/>
      </c>
    </row>
    <row r="1373">
      <c r="A1373" s="32">
        <f>IF($B1373="","",IFERROR(IMAGE($B1373,4,60,60),""))</f>
        <v/>
      </c>
      <c r="T1373" s="68" t="n"/>
      <c r="V1373" s="32">
        <f>IF($M1373="","",IF($M1373=0,"Out of stock",IF(OR($P1373="",$Q1373=""),"No window",IF(YEAR(TODAY())&lt;$P1373,"Too young",IF(YEAR(TODAY())&gt;$Q1373,"Past peak",IF(YEAR(TODAY())=$Q1373,"Drink now","Ready"))))))</f>
        <v/>
      </c>
    </row>
    <row r="1374">
      <c r="A1374" s="32">
        <f>IF($B1374="","",IFERROR(IMAGE($B1374,4,60,60),""))</f>
        <v/>
      </c>
      <c r="T1374" s="68" t="n"/>
      <c r="V1374" s="32">
        <f>IF($M1374="","",IF($M1374=0,"Out of stock",IF(OR($P1374="",$Q1374=""),"No window",IF(YEAR(TODAY())&lt;$P1374,"Too young",IF(YEAR(TODAY())&gt;$Q1374,"Past peak",IF(YEAR(TODAY())=$Q1374,"Drink now","Ready"))))))</f>
        <v/>
      </c>
    </row>
    <row r="1375">
      <c r="A1375" s="32">
        <f>IF($B1375="","",IFERROR(IMAGE($B1375,4,60,60),""))</f>
        <v/>
      </c>
      <c r="T1375" s="68" t="n"/>
      <c r="V1375" s="32">
        <f>IF($M1375="","",IF($M1375=0,"Out of stock",IF(OR($P1375="",$Q1375=""),"No window",IF(YEAR(TODAY())&lt;$P1375,"Too young",IF(YEAR(TODAY())&gt;$Q1375,"Past peak",IF(YEAR(TODAY())=$Q1375,"Drink now","Ready"))))))</f>
        <v/>
      </c>
    </row>
    <row r="1376">
      <c r="A1376" s="32">
        <f>IF($B1376="","",IFERROR(IMAGE($B1376,4,60,60),""))</f>
        <v/>
      </c>
      <c r="T1376" s="68" t="n"/>
      <c r="V1376" s="32">
        <f>IF($M1376="","",IF($M1376=0,"Out of stock",IF(OR($P1376="",$Q1376=""),"No window",IF(YEAR(TODAY())&lt;$P1376,"Too young",IF(YEAR(TODAY())&gt;$Q1376,"Past peak",IF(YEAR(TODAY())=$Q1376,"Drink now","Ready"))))))</f>
        <v/>
      </c>
    </row>
    <row r="1377">
      <c r="A1377" s="32">
        <f>IF($B1377="","",IFERROR(IMAGE($B1377,4,60,60),""))</f>
        <v/>
      </c>
      <c r="T1377" s="68" t="n"/>
      <c r="V1377" s="32">
        <f>IF($M1377="","",IF($M1377=0,"Out of stock",IF(OR($P1377="",$Q1377=""),"No window",IF(YEAR(TODAY())&lt;$P1377,"Too young",IF(YEAR(TODAY())&gt;$Q1377,"Past peak",IF(YEAR(TODAY())=$Q1377,"Drink now","Ready"))))))</f>
        <v/>
      </c>
    </row>
    <row r="1378">
      <c r="A1378" s="32">
        <f>IF($B1378="","",IFERROR(IMAGE($B1378,4,60,60),""))</f>
        <v/>
      </c>
      <c r="T1378" s="68" t="n"/>
      <c r="V1378" s="32">
        <f>IF($M1378="","",IF($M1378=0,"Out of stock",IF(OR($P1378="",$Q1378=""),"No window",IF(YEAR(TODAY())&lt;$P1378,"Too young",IF(YEAR(TODAY())&gt;$Q1378,"Past peak",IF(YEAR(TODAY())=$Q1378,"Drink now","Ready"))))))</f>
        <v/>
      </c>
    </row>
    <row r="1379">
      <c r="A1379" s="32">
        <f>IF($B1379="","",IFERROR(IMAGE($B1379,4,60,60),""))</f>
        <v/>
      </c>
      <c r="T1379" s="68" t="n"/>
      <c r="V1379" s="32">
        <f>IF($M1379="","",IF($M1379=0,"Out of stock",IF(OR($P1379="",$Q1379=""),"No window",IF(YEAR(TODAY())&lt;$P1379,"Too young",IF(YEAR(TODAY())&gt;$Q1379,"Past peak",IF(YEAR(TODAY())=$Q1379,"Drink now","Ready"))))))</f>
        <v/>
      </c>
    </row>
    <row r="1380">
      <c r="A1380" s="32">
        <f>IF($B1380="","",IFERROR(IMAGE($B1380,4,60,60),""))</f>
        <v/>
      </c>
      <c r="T1380" s="68" t="n"/>
      <c r="V1380" s="32">
        <f>IF($M1380="","",IF($M1380=0,"Out of stock",IF(OR($P1380="",$Q1380=""),"No window",IF(YEAR(TODAY())&lt;$P1380,"Too young",IF(YEAR(TODAY())&gt;$Q1380,"Past peak",IF(YEAR(TODAY())=$Q1380,"Drink now","Ready"))))))</f>
        <v/>
      </c>
    </row>
    <row r="1381">
      <c r="A1381" s="32">
        <f>IF($B1381="","",IFERROR(IMAGE($B1381,4,60,60),""))</f>
        <v/>
      </c>
      <c r="T1381" s="68" t="n"/>
      <c r="V1381" s="32">
        <f>IF($M1381="","",IF($M1381=0,"Out of stock",IF(OR($P1381="",$Q1381=""),"No window",IF(YEAR(TODAY())&lt;$P1381,"Too young",IF(YEAR(TODAY())&gt;$Q1381,"Past peak",IF(YEAR(TODAY())=$Q1381,"Drink now","Ready"))))))</f>
        <v/>
      </c>
    </row>
    <row r="1382">
      <c r="A1382" s="32">
        <f>IF($B1382="","",IFERROR(IMAGE($B1382,4,60,60),""))</f>
        <v/>
      </c>
      <c r="T1382" s="68" t="n"/>
      <c r="V1382" s="32">
        <f>IF($M1382="","",IF($M1382=0,"Out of stock",IF(OR($P1382="",$Q1382=""),"No window",IF(YEAR(TODAY())&lt;$P1382,"Too young",IF(YEAR(TODAY())&gt;$Q1382,"Past peak",IF(YEAR(TODAY())=$Q1382,"Drink now","Ready"))))))</f>
        <v/>
      </c>
    </row>
    <row r="1383">
      <c r="A1383" s="32">
        <f>IF($B1383="","",IFERROR(IMAGE($B1383,4,60,60),""))</f>
        <v/>
      </c>
      <c r="T1383" s="68" t="n"/>
      <c r="V1383" s="32">
        <f>IF($M1383="","",IF($M1383=0,"Out of stock",IF(OR($P1383="",$Q1383=""),"No window",IF(YEAR(TODAY())&lt;$P1383,"Too young",IF(YEAR(TODAY())&gt;$Q1383,"Past peak",IF(YEAR(TODAY())=$Q1383,"Drink now","Ready"))))))</f>
        <v/>
      </c>
    </row>
    <row r="1384">
      <c r="A1384" s="32">
        <f>IF($B1384="","",IFERROR(IMAGE($B1384,4,60,60),""))</f>
        <v/>
      </c>
      <c r="T1384" s="68" t="n"/>
      <c r="V1384" s="32">
        <f>IF($M1384="","",IF($M1384=0,"Out of stock",IF(OR($P1384="",$Q1384=""),"No window",IF(YEAR(TODAY())&lt;$P1384,"Too young",IF(YEAR(TODAY())&gt;$Q1384,"Past peak",IF(YEAR(TODAY())=$Q1384,"Drink now","Ready"))))))</f>
        <v/>
      </c>
    </row>
    <row r="1385">
      <c r="A1385" s="32">
        <f>IF($B1385="","",IFERROR(IMAGE($B1385,4,60,60),""))</f>
        <v/>
      </c>
      <c r="T1385" s="68" t="n"/>
      <c r="V1385" s="32">
        <f>IF($M1385="","",IF($M1385=0,"Out of stock",IF(OR($P1385="",$Q1385=""),"No window",IF(YEAR(TODAY())&lt;$P1385,"Too young",IF(YEAR(TODAY())&gt;$Q1385,"Past peak",IF(YEAR(TODAY())=$Q1385,"Drink now","Ready"))))))</f>
        <v/>
      </c>
    </row>
    <row r="1386">
      <c r="A1386" s="32">
        <f>IF($B1386="","",IFERROR(IMAGE($B1386,4,60,60),""))</f>
        <v/>
      </c>
      <c r="T1386" s="68" t="n"/>
      <c r="V1386" s="32">
        <f>IF($M1386="","",IF($M1386=0,"Out of stock",IF(OR($P1386="",$Q1386=""),"No window",IF(YEAR(TODAY())&lt;$P1386,"Too young",IF(YEAR(TODAY())&gt;$Q1386,"Past peak",IF(YEAR(TODAY())=$Q1386,"Drink now","Ready"))))))</f>
        <v/>
      </c>
    </row>
    <row r="1387">
      <c r="A1387" s="32">
        <f>IF($B1387="","",IFERROR(IMAGE($B1387,4,60,60),""))</f>
        <v/>
      </c>
      <c r="T1387" s="68" t="n"/>
      <c r="V1387" s="32">
        <f>IF($M1387="","",IF($M1387=0,"Out of stock",IF(OR($P1387="",$Q1387=""),"No window",IF(YEAR(TODAY())&lt;$P1387,"Too young",IF(YEAR(TODAY())&gt;$Q1387,"Past peak",IF(YEAR(TODAY())=$Q1387,"Drink now","Ready"))))))</f>
        <v/>
      </c>
    </row>
    <row r="1388">
      <c r="A1388" s="32">
        <f>IF($B1388="","",IFERROR(IMAGE($B1388,4,60,60),""))</f>
        <v/>
      </c>
      <c r="T1388" s="68" t="n"/>
      <c r="V1388" s="32">
        <f>IF($M1388="","",IF($M1388=0,"Out of stock",IF(OR($P1388="",$Q1388=""),"No window",IF(YEAR(TODAY())&lt;$P1388,"Too young",IF(YEAR(TODAY())&gt;$Q1388,"Past peak",IF(YEAR(TODAY())=$Q1388,"Drink now","Ready"))))))</f>
        <v/>
      </c>
    </row>
    <row r="1389">
      <c r="A1389" s="32">
        <f>IF($B1389="","",IFERROR(IMAGE($B1389,4,60,60),""))</f>
        <v/>
      </c>
      <c r="T1389" s="68" t="n"/>
      <c r="V1389" s="32">
        <f>IF($M1389="","",IF($M1389=0,"Out of stock",IF(OR($P1389="",$Q1389=""),"No window",IF(YEAR(TODAY())&lt;$P1389,"Too young",IF(YEAR(TODAY())&gt;$Q1389,"Past peak",IF(YEAR(TODAY())=$Q1389,"Drink now","Ready"))))))</f>
        <v/>
      </c>
    </row>
    <row r="1390">
      <c r="A1390" s="32">
        <f>IF($B1390="","",IFERROR(IMAGE($B1390,4,60,60),""))</f>
        <v/>
      </c>
      <c r="T1390" s="68" t="n"/>
      <c r="V1390" s="32">
        <f>IF($M1390="","",IF($M1390=0,"Out of stock",IF(OR($P1390="",$Q1390=""),"No window",IF(YEAR(TODAY())&lt;$P1390,"Too young",IF(YEAR(TODAY())&gt;$Q1390,"Past peak",IF(YEAR(TODAY())=$Q1390,"Drink now","Ready"))))))</f>
        <v/>
      </c>
    </row>
    <row r="1391">
      <c r="A1391" s="32">
        <f>IF($B1391="","",IFERROR(IMAGE($B1391,4,60,60),""))</f>
        <v/>
      </c>
      <c r="T1391" s="68" t="n"/>
      <c r="V1391" s="32">
        <f>IF($M1391="","",IF($M1391=0,"Out of stock",IF(OR($P1391="",$Q1391=""),"No window",IF(YEAR(TODAY())&lt;$P1391,"Too young",IF(YEAR(TODAY())&gt;$Q1391,"Past peak",IF(YEAR(TODAY())=$Q1391,"Drink now","Ready"))))))</f>
        <v/>
      </c>
    </row>
    <row r="1392">
      <c r="A1392" s="32">
        <f>IF($B1392="","",IFERROR(IMAGE($B1392,4,60,60),""))</f>
        <v/>
      </c>
      <c r="T1392" s="68" t="n"/>
      <c r="V1392" s="32">
        <f>IF($M1392="","",IF($M1392=0,"Out of stock",IF(OR($P1392="",$Q1392=""),"No window",IF(YEAR(TODAY())&lt;$P1392,"Too young",IF(YEAR(TODAY())&gt;$Q1392,"Past peak",IF(YEAR(TODAY())=$Q1392,"Drink now","Ready"))))))</f>
        <v/>
      </c>
    </row>
    <row r="1393">
      <c r="A1393" s="32">
        <f>IF($B1393="","",IFERROR(IMAGE($B1393,4,60,60),""))</f>
        <v/>
      </c>
      <c r="T1393" s="68" t="n"/>
      <c r="V1393" s="32">
        <f>IF($M1393="","",IF($M1393=0,"Out of stock",IF(OR($P1393="",$Q1393=""),"No window",IF(YEAR(TODAY())&lt;$P1393,"Too young",IF(YEAR(TODAY())&gt;$Q1393,"Past peak",IF(YEAR(TODAY())=$Q1393,"Drink now","Ready"))))))</f>
        <v/>
      </c>
    </row>
    <row r="1394">
      <c r="A1394" s="32">
        <f>IF($B1394="","",IFERROR(IMAGE($B1394,4,60,60),""))</f>
        <v/>
      </c>
      <c r="T1394" s="68" t="n"/>
      <c r="V1394" s="32">
        <f>IF($M1394="","",IF($M1394=0,"Out of stock",IF(OR($P1394="",$Q1394=""),"No window",IF(YEAR(TODAY())&lt;$P1394,"Too young",IF(YEAR(TODAY())&gt;$Q1394,"Past peak",IF(YEAR(TODAY())=$Q1394,"Drink now","Ready"))))))</f>
        <v/>
      </c>
    </row>
    <row r="1395">
      <c r="A1395" s="32">
        <f>IF($B1395="","",IFERROR(IMAGE($B1395,4,60,60),""))</f>
        <v/>
      </c>
      <c r="T1395" s="68" t="n"/>
      <c r="V1395" s="32">
        <f>IF($M1395="","",IF($M1395=0,"Out of stock",IF(OR($P1395="",$Q1395=""),"No window",IF(YEAR(TODAY())&lt;$P1395,"Too young",IF(YEAR(TODAY())&gt;$Q1395,"Past peak",IF(YEAR(TODAY())=$Q1395,"Drink now","Ready"))))))</f>
        <v/>
      </c>
    </row>
    <row r="1396">
      <c r="A1396" s="32">
        <f>IF($B1396="","",IFERROR(IMAGE($B1396,4,60,60),""))</f>
        <v/>
      </c>
      <c r="T1396" s="68" t="n"/>
      <c r="V1396" s="32">
        <f>IF($M1396="","",IF($M1396=0,"Out of stock",IF(OR($P1396="",$Q1396=""),"No window",IF(YEAR(TODAY())&lt;$P1396,"Too young",IF(YEAR(TODAY())&gt;$Q1396,"Past peak",IF(YEAR(TODAY())=$Q1396,"Drink now","Ready"))))))</f>
        <v/>
      </c>
    </row>
    <row r="1397">
      <c r="A1397" s="32">
        <f>IF($B1397="","",IFERROR(IMAGE($B1397,4,60,60),""))</f>
        <v/>
      </c>
      <c r="T1397" s="68" t="n"/>
      <c r="V1397" s="32">
        <f>IF($M1397="","",IF($M1397=0,"Out of stock",IF(OR($P1397="",$Q1397=""),"No window",IF(YEAR(TODAY())&lt;$P1397,"Too young",IF(YEAR(TODAY())&gt;$Q1397,"Past peak",IF(YEAR(TODAY())=$Q1397,"Drink now","Ready"))))))</f>
        <v/>
      </c>
    </row>
    <row r="1398">
      <c r="A1398" s="32">
        <f>IF($B1398="","",IFERROR(IMAGE($B1398,4,60,60),""))</f>
        <v/>
      </c>
      <c r="T1398" s="68" t="n"/>
      <c r="V1398" s="32">
        <f>IF($M1398="","",IF($M1398=0,"Out of stock",IF(OR($P1398="",$Q1398=""),"No window",IF(YEAR(TODAY())&lt;$P1398,"Too young",IF(YEAR(TODAY())&gt;$Q1398,"Past peak",IF(YEAR(TODAY())=$Q1398,"Drink now","Ready"))))))</f>
        <v/>
      </c>
    </row>
    <row r="1399">
      <c r="A1399" s="32">
        <f>IF($B1399="","",IFERROR(IMAGE($B1399,4,60,60),""))</f>
        <v/>
      </c>
      <c r="T1399" s="68" t="n"/>
      <c r="V1399" s="32">
        <f>IF($M1399="","",IF($M1399=0,"Out of stock",IF(OR($P1399="",$Q1399=""),"No window",IF(YEAR(TODAY())&lt;$P1399,"Too young",IF(YEAR(TODAY())&gt;$Q1399,"Past peak",IF(YEAR(TODAY())=$Q1399,"Drink now","Ready"))))))</f>
        <v/>
      </c>
    </row>
    <row r="1400">
      <c r="A1400" s="32">
        <f>IF($B1400="","",IFERROR(IMAGE($B1400,4,60,60),""))</f>
        <v/>
      </c>
      <c r="T1400" s="68" t="n"/>
      <c r="V1400" s="32">
        <f>IF($M1400="","",IF($M1400=0,"Out of stock",IF(OR($P1400="",$Q1400=""),"No window",IF(YEAR(TODAY())&lt;$P1400,"Too young",IF(YEAR(TODAY())&gt;$Q1400,"Past peak",IF(YEAR(TODAY())=$Q1400,"Drink now","Ready"))))))</f>
        <v/>
      </c>
    </row>
    <row r="1401">
      <c r="A1401" s="32">
        <f>IF($B1401="","",IFERROR(IMAGE($B1401,4,60,60),""))</f>
        <v/>
      </c>
      <c r="T1401" s="68" t="n"/>
      <c r="V1401" s="32">
        <f>IF($M1401="","",IF($M1401=0,"Out of stock",IF(OR($P1401="",$Q1401=""),"No window",IF(YEAR(TODAY())&lt;$P1401,"Too young",IF(YEAR(TODAY())&gt;$Q1401,"Past peak",IF(YEAR(TODAY())=$Q1401,"Drink now","Ready"))))))</f>
        <v/>
      </c>
    </row>
    <row r="1402">
      <c r="A1402" s="32">
        <f>IF($B1402="","",IFERROR(IMAGE($B1402,4,60,60),""))</f>
        <v/>
      </c>
      <c r="T1402" s="68" t="n"/>
      <c r="V1402" s="32">
        <f>IF($M1402="","",IF($M1402=0,"Out of stock",IF(OR($P1402="",$Q1402=""),"No window",IF(YEAR(TODAY())&lt;$P1402,"Too young",IF(YEAR(TODAY())&gt;$Q1402,"Past peak",IF(YEAR(TODAY())=$Q1402,"Drink now","Ready"))))))</f>
        <v/>
      </c>
    </row>
    <row r="1403">
      <c r="A1403" s="32">
        <f>IF($B1403="","",IFERROR(IMAGE($B1403,4,60,60),""))</f>
        <v/>
      </c>
      <c r="T1403" s="68" t="n"/>
      <c r="V1403" s="32">
        <f>IF($M1403="","",IF($M1403=0,"Out of stock",IF(OR($P1403="",$Q1403=""),"No window",IF(YEAR(TODAY())&lt;$P1403,"Too young",IF(YEAR(TODAY())&gt;$Q1403,"Past peak",IF(YEAR(TODAY())=$Q1403,"Drink now","Ready"))))))</f>
        <v/>
      </c>
    </row>
    <row r="1404">
      <c r="A1404" s="32">
        <f>IF($B1404="","",IFERROR(IMAGE($B1404,4,60,60),""))</f>
        <v/>
      </c>
      <c r="T1404" s="68" t="n"/>
      <c r="V1404" s="32">
        <f>IF($M1404="","",IF($M1404=0,"Out of stock",IF(OR($P1404="",$Q1404=""),"No window",IF(YEAR(TODAY())&lt;$P1404,"Too young",IF(YEAR(TODAY())&gt;$Q1404,"Past peak",IF(YEAR(TODAY())=$Q1404,"Drink now","Ready"))))))</f>
        <v/>
      </c>
    </row>
    <row r="1405">
      <c r="A1405" s="32">
        <f>IF($B1405="","",IFERROR(IMAGE($B1405,4,60,60),""))</f>
        <v/>
      </c>
      <c r="T1405" s="68" t="n"/>
      <c r="V1405" s="32">
        <f>IF($M1405="","",IF($M1405=0,"Out of stock",IF(OR($P1405="",$Q1405=""),"No window",IF(YEAR(TODAY())&lt;$P1405,"Too young",IF(YEAR(TODAY())&gt;$Q1405,"Past peak",IF(YEAR(TODAY())=$Q1405,"Drink now","Ready"))))))</f>
        <v/>
      </c>
    </row>
    <row r="1406">
      <c r="A1406" s="32">
        <f>IF($B1406="","",IFERROR(IMAGE($B1406,4,60,60),""))</f>
        <v/>
      </c>
      <c r="T1406" s="68" t="n"/>
      <c r="V1406" s="32">
        <f>IF($M1406="","",IF($M1406=0,"Out of stock",IF(OR($P1406="",$Q1406=""),"No window",IF(YEAR(TODAY())&lt;$P1406,"Too young",IF(YEAR(TODAY())&gt;$Q1406,"Past peak",IF(YEAR(TODAY())=$Q1406,"Drink now","Ready"))))))</f>
        <v/>
      </c>
    </row>
    <row r="1407">
      <c r="A1407" s="32">
        <f>IF($B1407="","",IFERROR(IMAGE($B1407,4,60,60),""))</f>
        <v/>
      </c>
      <c r="T1407" s="68" t="n"/>
      <c r="V1407" s="32">
        <f>IF($M1407="","",IF($M1407=0,"Out of stock",IF(OR($P1407="",$Q1407=""),"No window",IF(YEAR(TODAY())&lt;$P1407,"Too young",IF(YEAR(TODAY())&gt;$Q1407,"Past peak",IF(YEAR(TODAY())=$Q1407,"Drink now","Ready"))))))</f>
        <v/>
      </c>
    </row>
    <row r="1408">
      <c r="A1408" s="32">
        <f>IF($B1408="","",IFERROR(IMAGE($B1408,4,60,60),""))</f>
        <v/>
      </c>
      <c r="T1408" s="68" t="n"/>
      <c r="V1408" s="32">
        <f>IF($M1408="","",IF($M1408=0,"Out of stock",IF(OR($P1408="",$Q1408=""),"No window",IF(YEAR(TODAY())&lt;$P1408,"Too young",IF(YEAR(TODAY())&gt;$Q1408,"Past peak",IF(YEAR(TODAY())=$Q1408,"Drink now","Ready"))))))</f>
        <v/>
      </c>
    </row>
    <row r="1409">
      <c r="A1409" s="32">
        <f>IF($B1409="","",IFERROR(IMAGE($B1409,4,60,60),""))</f>
        <v/>
      </c>
      <c r="T1409" s="68" t="n"/>
      <c r="V1409" s="32">
        <f>IF($M1409="","",IF($M1409=0,"Out of stock",IF(OR($P1409="",$Q1409=""),"No window",IF(YEAR(TODAY())&lt;$P1409,"Too young",IF(YEAR(TODAY())&gt;$Q1409,"Past peak",IF(YEAR(TODAY())=$Q1409,"Drink now","Ready"))))))</f>
        <v/>
      </c>
    </row>
    <row r="1410">
      <c r="A1410" s="32">
        <f>IF($B1410="","",IFERROR(IMAGE($B1410,4,60,60),""))</f>
        <v/>
      </c>
      <c r="T1410" s="68" t="n"/>
      <c r="V1410" s="32">
        <f>IF($M1410="","",IF($M1410=0,"Out of stock",IF(OR($P1410="",$Q1410=""),"No window",IF(YEAR(TODAY())&lt;$P1410,"Too young",IF(YEAR(TODAY())&gt;$Q1410,"Past peak",IF(YEAR(TODAY())=$Q1410,"Drink now","Ready"))))))</f>
        <v/>
      </c>
    </row>
    <row r="1411">
      <c r="A1411" s="32">
        <f>IF($B1411="","",IFERROR(IMAGE($B1411,4,60,60),""))</f>
        <v/>
      </c>
      <c r="T1411" s="68" t="n"/>
      <c r="V1411" s="32">
        <f>IF($M1411="","",IF($M1411=0,"Out of stock",IF(OR($P1411="",$Q1411=""),"No window",IF(YEAR(TODAY())&lt;$P1411,"Too young",IF(YEAR(TODAY())&gt;$Q1411,"Past peak",IF(YEAR(TODAY())=$Q1411,"Drink now","Ready"))))))</f>
        <v/>
      </c>
    </row>
    <row r="1412">
      <c r="A1412" s="32">
        <f>IF($B1412="","",IFERROR(IMAGE($B1412,4,60,60),""))</f>
        <v/>
      </c>
      <c r="T1412" s="68" t="n"/>
      <c r="V1412" s="32">
        <f>IF($M1412="","",IF($M1412=0,"Out of stock",IF(OR($P1412="",$Q1412=""),"No window",IF(YEAR(TODAY())&lt;$P1412,"Too young",IF(YEAR(TODAY())&gt;$Q1412,"Past peak",IF(YEAR(TODAY())=$Q1412,"Drink now","Ready"))))))</f>
        <v/>
      </c>
    </row>
    <row r="1413">
      <c r="A1413" s="32">
        <f>IF($B1413="","",IFERROR(IMAGE($B1413,4,60,60),""))</f>
        <v/>
      </c>
      <c r="T1413" s="68" t="n"/>
      <c r="V1413" s="32">
        <f>IF($M1413="","",IF($M1413=0,"Out of stock",IF(OR($P1413="",$Q1413=""),"No window",IF(YEAR(TODAY())&lt;$P1413,"Too young",IF(YEAR(TODAY())&gt;$Q1413,"Past peak",IF(YEAR(TODAY())=$Q1413,"Drink now","Ready"))))))</f>
        <v/>
      </c>
    </row>
    <row r="1414">
      <c r="A1414" s="32">
        <f>IF($B1414="","",IFERROR(IMAGE($B1414,4,60,60),""))</f>
        <v/>
      </c>
      <c r="T1414" s="68" t="n"/>
      <c r="V1414" s="32">
        <f>IF($M1414="","",IF($M1414=0,"Out of stock",IF(OR($P1414="",$Q1414=""),"No window",IF(YEAR(TODAY())&lt;$P1414,"Too young",IF(YEAR(TODAY())&gt;$Q1414,"Past peak",IF(YEAR(TODAY())=$Q1414,"Drink now","Ready"))))))</f>
        <v/>
      </c>
    </row>
    <row r="1415">
      <c r="A1415" s="32">
        <f>IF($B1415="","",IFERROR(IMAGE($B1415,4,60,60),""))</f>
        <v/>
      </c>
      <c r="T1415" s="68" t="n"/>
      <c r="V1415" s="32">
        <f>IF($M1415="","",IF($M1415=0,"Out of stock",IF(OR($P1415="",$Q1415=""),"No window",IF(YEAR(TODAY())&lt;$P1415,"Too young",IF(YEAR(TODAY())&gt;$Q1415,"Past peak",IF(YEAR(TODAY())=$Q1415,"Drink now","Ready"))))))</f>
        <v/>
      </c>
    </row>
    <row r="1416">
      <c r="A1416" s="32">
        <f>IF($B1416="","",IFERROR(IMAGE($B1416,4,60,60),""))</f>
        <v/>
      </c>
      <c r="T1416" s="68" t="n"/>
      <c r="V1416" s="32">
        <f>IF($M1416="","",IF($M1416=0,"Out of stock",IF(OR($P1416="",$Q1416=""),"No window",IF(YEAR(TODAY())&lt;$P1416,"Too young",IF(YEAR(TODAY())&gt;$Q1416,"Past peak",IF(YEAR(TODAY())=$Q1416,"Drink now","Ready"))))))</f>
        <v/>
      </c>
    </row>
    <row r="1417">
      <c r="A1417" s="32">
        <f>IF($B1417="","",IFERROR(IMAGE($B1417,4,60,60),""))</f>
        <v/>
      </c>
      <c r="T1417" s="68" t="n"/>
      <c r="V1417" s="32">
        <f>IF($M1417="","",IF($M1417=0,"Out of stock",IF(OR($P1417="",$Q1417=""),"No window",IF(YEAR(TODAY())&lt;$P1417,"Too young",IF(YEAR(TODAY())&gt;$Q1417,"Past peak",IF(YEAR(TODAY())=$Q1417,"Drink now","Ready"))))))</f>
        <v/>
      </c>
    </row>
    <row r="1418">
      <c r="A1418" s="32">
        <f>IF($B1418="","",IFERROR(IMAGE($B1418,4,60,60),""))</f>
        <v/>
      </c>
      <c r="T1418" s="68" t="n"/>
      <c r="V1418" s="32">
        <f>IF($M1418="","",IF($M1418=0,"Out of stock",IF(OR($P1418="",$Q1418=""),"No window",IF(YEAR(TODAY())&lt;$P1418,"Too young",IF(YEAR(TODAY())&gt;$Q1418,"Past peak",IF(YEAR(TODAY())=$Q1418,"Drink now","Ready"))))))</f>
        <v/>
      </c>
    </row>
    <row r="1419">
      <c r="A1419" s="32">
        <f>IF($B1419="","",IFERROR(IMAGE($B1419,4,60,60),""))</f>
        <v/>
      </c>
      <c r="T1419" s="68" t="n"/>
      <c r="V1419" s="32">
        <f>IF($M1419="","",IF($M1419=0,"Out of stock",IF(OR($P1419="",$Q1419=""),"No window",IF(YEAR(TODAY())&lt;$P1419,"Too young",IF(YEAR(TODAY())&gt;$Q1419,"Past peak",IF(YEAR(TODAY())=$Q1419,"Drink now","Ready"))))))</f>
        <v/>
      </c>
    </row>
    <row r="1420">
      <c r="A1420" s="32">
        <f>IF($B1420="","",IFERROR(IMAGE($B1420,4,60,60),""))</f>
        <v/>
      </c>
      <c r="T1420" s="68" t="n"/>
      <c r="V1420" s="32">
        <f>IF($M1420="","",IF($M1420=0,"Out of stock",IF(OR($P1420="",$Q1420=""),"No window",IF(YEAR(TODAY())&lt;$P1420,"Too young",IF(YEAR(TODAY())&gt;$Q1420,"Past peak",IF(YEAR(TODAY())=$Q1420,"Drink now","Ready"))))))</f>
        <v/>
      </c>
    </row>
    <row r="1421">
      <c r="A1421" s="32">
        <f>IF($B1421="","",IFERROR(IMAGE($B1421,4,60,60),""))</f>
        <v/>
      </c>
      <c r="T1421" s="68" t="n"/>
      <c r="V1421" s="32">
        <f>IF($M1421="","",IF($M1421=0,"Out of stock",IF(OR($P1421="",$Q1421=""),"No window",IF(YEAR(TODAY())&lt;$P1421,"Too young",IF(YEAR(TODAY())&gt;$Q1421,"Past peak",IF(YEAR(TODAY())=$Q1421,"Drink now","Ready"))))))</f>
        <v/>
      </c>
    </row>
    <row r="1422">
      <c r="A1422" s="32">
        <f>IF($B1422="","",IFERROR(IMAGE($B1422,4,60,60),""))</f>
        <v/>
      </c>
      <c r="T1422" s="68" t="n"/>
      <c r="V1422" s="32">
        <f>IF($M1422="","",IF($M1422=0,"Out of stock",IF(OR($P1422="",$Q1422=""),"No window",IF(YEAR(TODAY())&lt;$P1422,"Too young",IF(YEAR(TODAY())&gt;$Q1422,"Past peak",IF(YEAR(TODAY())=$Q1422,"Drink now","Ready"))))))</f>
        <v/>
      </c>
    </row>
    <row r="1423">
      <c r="A1423" s="32">
        <f>IF($B1423="","",IFERROR(IMAGE($B1423,4,60,60),""))</f>
        <v/>
      </c>
      <c r="T1423" s="68" t="n"/>
      <c r="V1423" s="32">
        <f>IF($M1423="","",IF($M1423=0,"Out of stock",IF(OR($P1423="",$Q1423=""),"No window",IF(YEAR(TODAY())&lt;$P1423,"Too young",IF(YEAR(TODAY())&gt;$Q1423,"Past peak",IF(YEAR(TODAY())=$Q1423,"Drink now","Ready"))))))</f>
        <v/>
      </c>
    </row>
    <row r="1424">
      <c r="A1424" s="32">
        <f>IF($B1424="","",IFERROR(IMAGE($B1424,4,60,60),""))</f>
        <v/>
      </c>
      <c r="T1424" s="68" t="n"/>
      <c r="V1424" s="32">
        <f>IF($M1424="","",IF($M1424=0,"Out of stock",IF(OR($P1424="",$Q1424=""),"No window",IF(YEAR(TODAY())&lt;$P1424,"Too young",IF(YEAR(TODAY())&gt;$Q1424,"Past peak",IF(YEAR(TODAY())=$Q1424,"Drink now","Ready"))))))</f>
        <v/>
      </c>
    </row>
    <row r="1425">
      <c r="A1425" s="32">
        <f>IF($B1425="","",IFERROR(IMAGE($B1425,4,60,60),""))</f>
        <v/>
      </c>
      <c r="T1425" s="68" t="n"/>
      <c r="V1425" s="32">
        <f>IF($M1425="","",IF($M1425=0,"Out of stock",IF(OR($P1425="",$Q1425=""),"No window",IF(YEAR(TODAY())&lt;$P1425,"Too young",IF(YEAR(TODAY())&gt;$Q1425,"Past peak",IF(YEAR(TODAY())=$Q1425,"Drink now","Ready"))))))</f>
        <v/>
      </c>
    </row>
    <row r="1426">
      <c r="A1426" s="32">
        <f>IF($B1426="","",IFERROR(IMAGE($B1426,4,60,60),""))</f>
        <v/>
      </c>
      <c r="T1426" s="68" t="n"/>
      <c r="V1426" s="32">
        <f>IF($M1426="","",IF($M1426=0,"Out of stock",IF(OR($P1426="",$Q1426=""),"No window",IF(YEAR(TODAY())&lt;$P1426,"Too young",IF(YEAR(TODAY())&gt;$Q1426,"Past peak",IF(YEAR(TODAY())=$Q1426,"Drink now","Ready"))))))</f>
        <v/>
      </c>
    </row>
    <row r="1427">
      <c r="A1427" s="32">
        <f>IF($B1427="","",IFERROR(IMAGE($B1427,4,60,60),""))</f>
        <v/>
      </c>
      <c r="T1427" s="68" t="n"/>
      <c r="V1427" s="32">
        <f>IF($M1427="","",IF($M1427=0,"Out of stock",IF(OR($P1427="",$Q1427=""),"No window",IF(YEAR(TODAY())&lt;$P1427,"Too young",IF(YEAR(TODAY())&gt;$Q1427,"Past peak",IF(YEAR(TODAY())=$Q1427,"Drink now","Ready"))))))</f>
        <v/>
      </c>
    </row>
    <row r="1428">
      <c r="A1428" s="32">
        <f>IF($B1428="","",IFERROR(IMAGE($B1428,4,60,60),""))</f>
        <v/>
      </c>
      <c r="T1428" s="68" t="n"/>
      <c r="V1428" s="32">
        <f>IF($M1428="","",IF($M1428=0,"Out of stock",IF(OR($P1428="",$Q1428=""),"No window",IF(YEAR(TODAY())&lt;$P1428,"Too young",IF(YEAR(TODAY())&gt;$Q1428,"Past peak",IF(YEAR(TODAY())=$Q1428,"Drink now","Ready"))))))</f>
        <v/>
      </c>
    </row>
    <row r="1429">
      <c r="A1429" s="32">
        <f>IF($B1429="","",IFERROR(IMAGE($B1429,4,60,60),""))</f>
        <v/>
      </c>
      <c r="T1429" s="68" t="n"/>
      <c r="V1429" s="32">
        <f>IF($M1429="","",IF($M1429=0,"Out of stock",IF(OR($P1429="",$Q1429=""),"No window",IF(YEAR(TODAY())&lt;$P1429,"Too young",IF(YEAR(TODAY())&gt;$Q1429,"Past peak",IF(YEAR(TODAY())=$Q1429,"Drink now","Ready"))))))</f>
        <v/>
      </c>
    </row>
    <row r="1430">
      <c r="A1430" s="32">
        <f>IF($B1430="","",IFERROR(IMAGE($B1430,4,60,60),""))</f>
        <v/>
      </c>
      <c r="T1430" s="68" t="n"/>
      <c r="V1430" s="32">
        <f>IF($M1430="","",IF($M1430=0,"Out of stock",IF(OR($P1430="",$Q1430=""),"No window",IF(YEAR(TODAY())&lt;$P1430,"Too young",IF(YEAR(TODAY())&gt;$Q1430,"Past peak",IF(YEAR(TODAY())=$Q1430,"Drink now","Ready"))))))</f>
        <v/>
      </c>
    </row>
    <row r="1431">
      <c r="A1431" s="32">
        <f>IF($B1431="","",IFERROR(IMAGE($B1431,4,60,60),""))</f>
        <v/>
      </c>
      <c r="T1431" s="68" t="n"/>
      <c r="V1431" s="32">
        <f>IF($M1431="","",IF($M1431=0,"Out of stock",IF(OR($P1431="",$Q1431=""),"No window",IF(YEAR(TODAY())&lt;$P1431,"Too young",IF(YEAR(TODAY())&gt;$Q1431,"Past peak",IF(YEAR(TODAY())=$Q1431,"Drink now","Ready"))))))</f>
        <v/>
      </c>
    </row>
    <row r="1432">
      <c r="A1432" s="32">
        <f>IF($B1432="","",IFERROR(IMAGE($B1432,4,60,60),""))</f>
        <v/>
      </c>
      <c r="T1432" s="68" t="n"/>
      <c r="V1432" s="32">
        <f>IF($M1432="","",IF($M1432=0,"Out of stock",IF(OR($P1432="",$Q1432=""),"No window",IF(YEAR(TODAY())&lt;$P1432,"Too young",IF(YEAR(TODAY())&gt;$Q1432,"Past peak",IF(YEAR(TODAY())=$Q1432,"Drink now","Ready"))))))</f>
        <v/>
      </c>
    </row>
    <row r="1433">
      <c r="A1433" s="32">
        <f>IF($B1433="","",IFERROR(IMAGE($B1433,4,60,60),""))</f>
        <v/>
      </c>
      <c r="T1433" s="68" t="n"/>
      <c r="V1433" s="32">
        <f>IF($M1433="","",IF($M1433=0,"Out of stock",IF(OR($P1433="",$Q1433=""),"No window",IF(YEAR(TODAY())&lt;$P1433,"Too young",IF(YEAR(TODAY())&gt;$Q1433,"Past peak",IF(YEAR(TODAY())=$Q1433,"Drink now","Ready"))))))</f>
        <v/>
      </c>
    </row>
    <row r="1434">
      <c r="A1434" s="32">
        <f>IF($B1434="","",IFERROR(IMAGE($B1434,4,60,60),""))</f>
        <v/>
      </c>
      <c r="T1434" s="68" t="n"/>
      <c r="V1434" s="32">
        <f>IF($M1434="","",IF($M1434=0,"Out of stock",IF(OR($P1434="",$Q1434=""),"No window",IF(YEAR(TODAY())&lt;$P1434,"Too young",IF(YEAR(TODAY())&gt;$Q1434,"Past peak",IF(YEAR(TODAY())=$Q1434,"Drink now","Ready"))))))</f>
        <v/>
      </c>
    </row>
    <row r="1435">
      <c r="A1435" s="32">
        <f>IF($B1435="","",IFERROR(IMAGE($B1435,4,60,60),""))</f>
        <v/>
      </c>
      <c r="T1435" s="68" t="n"/>
      <c r="V1435" s="32">
        <f>IF($M1435="","",IF($M1435=0,"Out of stock",IF(OR($P1435="",$Q1435=""),"No window",IF(YEAR(TODAY())&lt;$P1435,"Too young",IF(YEAR(TODAY())&gt;$Q1435,"Past peak",IF(YEAR(TODAY())=$Q1435,"Drink now","Ready"))))))</f>
        <v/>
      </c>
    </row>
    <row r="1436">
      <c r="A1436" s="32">
        <f>IF($B1436="","",IFERROR(IMAGE($B1436,4,60,60),""))</f>
        <v/>
      </c>
      <c r="T1436" s="68" t="n"/>
      <c r="V1436" s="32">
        <f>IF($M1436="","",IF($M1436=0,"Out of stock",IF(OR($P1436="",$Q1436=""),"No window",IF(YEAR(TODAY())&lt;$P1436,"Too young",IF(YEAR(TODAY())&gt;$Q1436,"Past peak",IF(YEAR(TODAY())=$Q1436,"Drink now","Ready"))))))</f>
        <v/>
      </c>
    </row>
    <row r="1437">
      <c r="A1437" s="32">
        <f>IF($B1437="","",IFERROR(IMAGE($B1437,4,60,60),""))</f>
        <v/>
      </c>
      <c r="T1437" s="68" t="n"/>
      <c r="V1437" s="32">
        <f>IF($M1437="","",IF($M1437=0,"Out of stock",IF(OR($P1437="",$Q1437=""),"No window",IF(YEAR(TODAY())&lt;$P1437,"Too young",IF(YEAR(TODAY())&gt;$Q1437,"Past peak",IF(YEAR(TODAY())=$Q1437,"Drink now","Ready"))))))</f>
        <v/>
      </c>
    </row>
    <row r="1438">
      <c r="A1438" s="32">
        <f>IF($B1438="","",IFERROR(IMAGE($B1438,4,60,60),""))</f>
        <v/>
      </c>
      <c r="T1438" s="68" t="n"/>
      <c r="V1438" s="32">
        <f>IF($M1438="","",IF($M1438=0,"Out of stock",IF(OR($P1438="",$Q1438=""),"No window",IF(YEAR(TODAY())&lt;$P1438,"Too young",IF(YEAR(TODAY())&gt;$Q1438,"Past peak",IF(YEAR(TODAY())=$Q1438,"Drink now","Ready"))))))</f>
        <v/>
      </c>
    </row>
    <row r="1439">
      <c r="A1439" s="32">
        <f>IF($B1439="","",IFERROR(IMAGE($B1439,4,60,60),""))</f>
        <v/>
      </c>
      <c r="T1439" s="68" t="n"/>
      <c r="V1439" s="32">
        <f>IF($M1439="","",IF($M1439=0,"Out of stock",IF(OR($P1439="",$Q1439=""),"No window",IF(YEAR(TODAY())&lt;$P1439,"Too young",IF(YEAR(TODAY())&gt;$Q1439,"Past peak",IF(YEAR(TODAY())=$Q1439,"Drink now","Ready"))))))</f>
        <v/>
      </c>
    </row>
    <row r="1440">
      <c r="A1440" s="32">
        <f>IF($B1440="","",IFERROR(IMAGE($B1440,4,60,60),""))</f>
        <v/>
      </c>
      <c r="T1440" s="68" t="n"/>
      <c r="V1440" s="32">
        <f>IF($M1440="","",IF($M1440=0,"Out of stock",IF(OR($P1440="",$Q1440=""),"No window",IF(YEAR(TODAY())&lt;$P1440,"Too young",IF(YEAR(TODAY())&gt;$Q1440,"Past peak",IF(YEAR(TODAY())=$Q1440,"Drink now","Ready"))))))</f>
        <v/>
      </c>
    </row>
    <row r="1441">
      <c r="A1441" s="32">
        <f>IF($B1441="","",IFERROR(IMAGE($B1441,4,60,60),""))</f>
        <v/>
      </c>
      <c r="T1441" s="68" t="n"/>
      <c r="V1441" s="32">
        <f>IF($M1441="","",IF($M1441=0,"Out of stock",IF(OR($P1441="",$Q1441=""),"No window",IF(YEAR(TODAY())&lt;$P1441,"Too young",IF(YEAR(TODAY())&gt;$Q1441,"Past peak",IF(YEAR(TODAY())=$Q1441,"Drink now","Ready"))))))</f>
        <v/>
      </c>
    </row>
    <row r="1442">
      <c r="A1442" s="32">
        <f>IF($B1442="","",IFERROR(IMAGE($B1442,4,60,60),""))</f>
        <v/>
      </c>
      <c r="T1442" s="68" t="n"/>
      <c r="V1442" s="32">
        <f>IF($M1442="","",IF($M1442=0,"Out of stock",IF(OR($P1442="",$Q1442=""),"No window",IF(YEAR(TODAY())&lt;$P1442,"Too young",IF(YEAR(TODAY())&gt;$Q1442,"Past peak",IF(YEAR(TODAY())=$Q1442,"Drink now","Ready"))))))</f>
        <v/>
      </c>
    </row>
    <row r="1443">
      <c r="A1443" s="32">
        <f>IF($B1443="","",IFERROR(IMAGE($B1443,4,60,60),""))</f>
        <v/>
      </c>
      <c r="T1443" s="68" t="n"/>
      <c r="V1443" s="32">
        <f>IF($M1443="","",IF($M1443=0,"Out of stock",IF(OR($P1443="",$Q1443=""),"No window",IF(YEAR(TODAY())&lt;$P1443,"Too young",IF(YEAR(TODAY())&gt;$Q1443,"Past peak",IF(YEAR(TODAY())=$Q1443,"Drink now","Ready"))))))</f>
        <v/>
      </c>
    </row>
    <row r="1444">
      <c r="A1444" s="32">
        <f>IF($B1444="","",IFERROR(IMAGE($B1444,4,60,60),""))</f>
        <v/>
      </c>
      <c r="T1444" s="68" t="n"/>
      <c r="V1444" s="32">
        <f>IF($M1444="","",IF($M1444=0,"Out of stock",IF(OR($P1444="",$Q1444=""),"No window",IF(YEAR(TODAY())&lt;$P1444,"Too young",IF(YEAR(TODAY())&gt;$Q1444,"Past peak",IF(YEAR(TODAY())=$Q1444,"Drink now","Ready"))))))</f>
        <v/>
      </c>
    </row>
    <row r="1445">
      <c r="A1445" s="32">
        <f>IF($B1445="","",IFERROR(IMAGE($B1445,4,60,60),""))</f>
        <v/>
      </c>
      <c r="T1445" s="68" t="n"/>
      <c r="V1445" s="32">
        <f>IF($M1445="","",IF($M1445=0,"Out of stock",IF(OR($P1445="",$Q1445=""),"No window",IF(YEAR(TODAY())&lt;$P1445,"Too young",IF(YEAR(TODAY())&gt;$Q1445,"Past peak",IF(YEAR(TODAY())=$Q1445,"Drink now","Ready"))))))</f>
        <v/>
      </c>
    </row>
    <row r="1446">
      <c r="A1446" s="32">
        <f>IF($B1446="","",IFERROR(IMAGE($B1446,4,60,60),""))</f>
        <v/>
      </c>
      <c r="T1446" s="68" t="n"/>
      <c r="V1446" s="32">
        <f>IF($M1446="","",IF($M1446=0,"Out of stock",IF(OR($P1446="",$Q1446=""),"No window",IF(YEAR(TODAY())&lt;$P1446,"Too young",IF(YEAR(TODAY())&gt;$Q1446,"Past peak",IF(YEAR(TODAY())=$Q1446,"Drink now","Ready"))))))</f>
        <v/>
      </c>
    </row>
    <row r="1447">
      <c r="A1447" s="32">
        <f>IF($B1447="","",IFERROR(IMAGE($B1447,4,60,60),""))</f>
        <v/>
      </c>
      <c r="T1447" s="68" t="n"/>
      <c r="V1447" s="32">
        <f>IF($M1447="","",IF($M1447=0,"Out of stock",IF(OR($P1447="",$Q1447=""),"No window",IF(YEAR(TODAY())&lt;$P1447,"Too young",IF(YEAR(TODAY())&gt;$Q1447,"Past peak",IF(YEAR(TODAY())=$Q1447,"Drink now","Ready"))))))</f>
        <v/>
      </c>
    </row>
    <row r="1448">
      <c r="A1448" s="32">
        <f>IF($B1448="","",IFERROR(IMAGE($B1448,4,60,60),""))</f>
        <v/>
      </c>
      <c r="T1448" s="68" t="n"/>
      <c r="V1448" s="32">
        <f>IF($M1448="","",IF($M1448=0,"Out of stock",IF(OR($P1448="",$Q1448=""),"No window",IF(YEAR(TODAY())&lt;$P1448,"Too young",IF(YEAR(TODAY())&gt;$Q1448,"Past peak",IF(YEAR(TODAY())=$Q1448,"Drink now","Ready"))))))</f>
        <v/>
      </c>
    </row>
    <row r="1449">
      <c r="A1449" s="32">
        <f>IF($B1449="","",IFERROR(IMAGE($B1449,4,60,60),""))</f>
        <v/>
      </c>
      <c r="T1449" s="68" t="n"/>
      <c r="V1449" s="32">
        <f>IF($M1449="","",IF($M1449=0,"Out of stock",IF(OR($P1449="",$Q1449=""),"No window",IF(YEAR(TODAY())&lt;$P1449,"Too young",IF(YEAR(TODAY())&gt;$Q1449,"Past peak",IF(YEAR(TODAY())=$Q1449,"Drink now","Ready"))))))</f>
        <v/>
      </c>
    </row>
    <row r="1450">
      <c r="A1450" s="32">
        <f>IF($B1450="","",IFERROR(IMAGE($B1450,4,60,60),""))</f>
        <v/>
      </c>
      <c r="T1450" s="68" t="n"/>
      <c r="V1450" s="32">
        <f>IF($M1450="","",IF($M1450=0,"Out of stock",IF(OR($P1450="",$Q1450=""),"No window",IF(YEAR(TODAY())&lt;$P1450,"Too young",IF(YEAR(TODAY())&gt;$Q1450,"Past peak",IF(YEAR(TODAY())=$Q1450,"Drink now","Ready"))))))</f>
        <v/>
      </c>
    </row>
    <row r="1451">
      <c r="A1451" s="32">
        <f>IF($B1451="","",IFERROR(IMAGE($B1451,4,60,60),""))</f>
        <v/>
      </c>
      <c r="T1451" s="68" t="n"/>
      <c r="V1451" s="32">
        <f>IF($M1451="","",IF($M1451=0,"Out of stock",IF(OR($P1451="",$Q1451=""),"No window",IF(YEAR(TODAY())&lt;$P1451,"Too young",IF(YEAR(TODAY())&gt;$Q1451,"Past peak",IF(YEAR(TODAY())=$Q1451,"Drink now","Ready"))))))</f>
        <v/>
      </c>
    </row>
    <row r="1452">
      <c r="A1452" s="32">
        <f>IF($B1452="","",IFERROR(IMAGE($B1452,4,60,60),""))</f>
        <v/>
      </c>
      <c r="T1452" s="68" t="n"/>
      <c r="V1452" s="32">
        <f>IF($M1452="","",IF($M1452=0,"Out of stock",IF(OR($P1452="",$Q1452=""),"No window",IF(YEAR(TODAY())&lt;$P1452,"Too young",IF(YEAR(TODAY())&gt;$Q1452,"Past peak",IF(YEAR(TODAY())=$Q1452,"Drink now","Ready"))))))</f>
        <v/>
      </c>
    </row>
    <row r="1453">
      <c r="A1453" s="32">
        <f>IF($B1453="","",IFERROR(IMAGE($B1453,4,60,60),""))</f>
        <v/>
      </c>
      <c r="T1453" s="68" t="n"/>
      <c r="V1453" s="32">
        <f>IF($M1453="","",IF($M1453=0,"Out of stock",IF(OR($P1453="",$Q1453=""),"No window",IF(YEAR(TODAY())&lt;$P1453,"Too young",IF(YEAR(TODAY())&gt;$Q1453,"Past peak",IF(YEAR(TODAY())=$Q1453,"Drink now","Ready"))))))</f>
        <v/>
      </c>
    </row>
    <row r="1454">
      <c r="A1454" s="32">
        <f>IF($B1454="","",IFERROR(IMAGE($B1454,4,60,60),""))</f>
        <v/>
      </c>
      <c r="T1454" s="68" t="n"/>
      <c r="V1454" s="32">
        <f>IF($M1454="","",IF($M1454=0,"Out of stock",IF(OR($P1454="",$Q1454=""),"No window",IF(YEAR(TODAY())&lt;$P1454,"Too young",IF(YEAR(TODAY())&gt;$Q1454,"Past peak",IF(YEAR(TODAY())=$Q1454,"Drink now","Ready"))))))</f>
        <v/>
      </c>
    </row>
    <row r="1455">
      <c r="A1455" s="32">
        <f>IF($B1455="","",IFERROR(IMAGE($B1455,4,60,60),""))</f>
        <v/>
      </c>
      <c r="T1455" s="68" t="n"/>
      <c r="V1455" s="32">
        <f>IF($M1455="","",IF($M1455=0,"Out of stock",IF(OR($P1455="",$Q1455=""),"No window",IF(YEAR(TODAY())&lt;$P1455,"Too young",IF(YEAR(TODAY())&gt;$Q1455,"Past peak",IF(YEAR(TODAY())=$Q1455,"Drink now","Ready"))))))</f>
        <v/>
      </c>
    </row>
    <row r="1456">
      <c r="A1456" s="32">
        <f>IF($B1456="","",IFERROR(IMAGE($B1456,4,60,60),""))</f>
        <v/>
      </c>
      <c r="T1456" s="68" t="n"/>
      <c r="V1456" s="32">
        <f>IF($M1456="","",IF($M1456=0,"Out of stock",IF(OR($P1456="",$Q1456=""),"No window",IF(YEAR(TODAY())&lt;$P1456,"Too young",IF(YEAR(TODAY())&gt;$Q1456,"Past peak",IF(YEAR(TODAY())=$Q1456,"Drink now","Ready"))))))</f>
        <v/>
      </c>
    </row>
    <row r="1457">
      <c r="A1457" s="32">
        <f>IF($B1457="","",IFERROR(IMAGE($B1457,4,60,60),""))</f>
        <v/>
      </c>
      <c r="T1457" s="68" t="n"/>
      <c r="V1457" s="32">
        <f>IF($M1457="","",IF($M1457=0,"Out of stock",IF(OR($P1457="",$Q1457=""),"No window",IF(YEAR(TODAY())&lt;$P1457,"Too young",IF(YEAR(TODAY())&gt;$Q1457,"Past peak",IF(YEAR(TODAY())=$Q1457,"Drink now","Ready"))))))</f>
        <v/>
      </c>
    </row>
    <row r="1458">
      <c r="A1458" s="32">
        <f>IF($B1458="","",IFERROR(IMAGE($B1458,4,60,60),""))</f>
        <v/>
      </c>
      <c r="T1458" s="68" t="n"/>
      <c r="V1458" s="32">
        <f>IF($M1458="","",IF($M1458=0,"Out of stock",IF(OR($P1458="",$Q1458=""),"No window",IF(YEAR(TODAY())&lt;$P1458,"Too young",IF(YEAR(TODAY())&gt;$Q1458,"Past peak",IF(YEAR(TODAY())=$Q1458,"Drink now","Ready"))))))</f>
        <v/>
      </c>
    </row>
    <row r="1459">
      <c r="A1459" s="32">
        <f>IF($B1459="","",IFERROR(IMAGE($B1459,4,60,60),""))</f>
        <v/>
      </c>
      <c r="T1459" s="68" t="n"/>
      <c r="V1459" s="32">
        <f>IF($M1459="","",IF($M1459=0,"Out of stock",IF(OR($P1459="",$Q1459=""),"No window",IF(YEAR(TODAY())&lt;$P1459,"Too young",IF(YEAR(TODAY())&gt;$Q1459,"Past peak",IF(YEAR(TODAY())=$Q1459,"Drink now","Ready"))))))</f>
        <v/>
      </c>
    </row>
    <row r="1460">
      <c r="A1460" s="32">
        <f>IF($B1460="","",IFERROR(IMAGE($B1460,4,60,60),""))</f>
        <v/>
      </c>
      <c r="T1460" s="68" t="n"/>
      <c r="V1460" s="32">
        <f>IF($M1460="","",IF($M1460=0,"Out of stock",IF(OR($P1460="",$Q1460=""),"No window",IF(YEAR(TODAY())&lt;$P1460,"Too young",IF(YEAR(TODAY())&gt;$Q1460,"Past peak",IF(YEAR(TODAY())=$Q1460,"Drink now","Ready"))))))</f>
        <v/>
      </c>
    </row>
    <row r="1461">
      <c r="A1461" s="32">
        <f>IF($B1461="","",IFERROR(IMAGE($B1461,4,60,60),""))</f>
        <v/>
      </c>
      <c r="T1461" s="68" t="n"/>
      <c r="V1461" s="32">
        <f>IF($M1461="","",IF($M1461=0,"Out of stock",IF(OR($P1461="",$Q1461=""),"No window",IF(YEAR(TODAY())&lt;$P1461,"Too young",IF(YEAR(TODAY())&gt;$Q1461,"Past peak",IF(YEAR(TODAY())=$Q1461,"Drink now","Ready"))))))</f>
        <v/>
      </c>
    </row>
    <row r="1462">
      <c r="A1462" s="32">
        <f>IF($B1462="","",IFERROR(IMAGE($B1462,4,60,60),""))</f>
        <v/>
      </c>
      <c r="T1462" s="68" t="n"/>
      <c r="V1462" s="32">
        <f>IF($M1462="","",IF($M1462=0,"Out of stock",IF(OR($P1462="",$Q1462=""),"No window",IF(YEAR(TODAY())&lt;$P1462,"Too young",IF(YEAR(TODAY())&gt;$Q1462,"Past peak",IF(YEAR(TODAY())=$Q1462,"Drink now","Ready"))))))</f>
        <v/>
      </c>
    </row>
    <row r="1463">
      <c r="A1463" s="32">
        <f>IF($B1463="","",IFERROR(IMAGE($B1463,4,60,60),""))</f>
        <v/>
      </c>
      <c r="T1463" s="68" t="n"/>
      <c r="V1463" s="32">
        <f>IF($M1463="","",IF($M1463=0,"Out of stock",IF(OR($P1463="",$Q1463=""),"No window",IF(YEAR(TODAY())&lt;$P1463,"Too young",IF(YEAR(TODAY())&gt;$Q1463,"Past peak",IF(YEAR(TODAY())=$Q1463,"Drink now","Ready"))))))</f>
        <v/>
      </c>
    </row>
    <row r="1464">
      <c r="A1464" s="32">
        <f>IF($B1464="","",IFERROR(IMAGE($B1464,4,60,60),""))</f>
        <v/>
      </c>
      <c r="T1464" s="68" t="n"/>
      <c r="V1464" s="32">
        <f>IF($M1464="","",IF($M1464=0,"Out of stock",IF(OR($P1464="",$Q1464=""),"No window",IF(YEAR(TODAY())&lt;$P1464,"Too young",IF(YEAR(TODAY())&gt;$Q1464,"Past peak",IF(YEAR(TODAY())=$Q1464,"Drink now","Ready"))))))</f>
        <v/>
      </c>
    </row>
    <row r="1465">
      <c r="A1465" s="32">
        <f>IF($B1465="","",IFERROR(IMAGE($B1465,4,60,60),""))</f>
        <v/>
      </c>
      <c r="T1465" s="68" t="n"/>
      <c r="V1465" s="32">
        <f>IF($M1465="","",IF($M1465=0,"Out of stock",IF(OR($P1465="",$Q1465=""),"No window",IF(YEAR(TODAY())&lt;$P1465,"Too young",IF(YEAR(TODAY())&gt;$Q1465,"Past peak",IF(YEAR(TODAY())=$Q1465,"Drink now","Ready"))))))</f>
        <v/>
      </c>
    </row>
    <row r="1466">
      <c r="A1466" s="32">
        <f>IF($B1466="","",IFERROR(IMAGE($B1466,4,60,60),""))</f>
        <v/>
      </c>
      <c r="T1466" s="68" t="n"/>
      <c r="V1466" s="32">
        <f>IF($M1466="","",IF($M1466=0,"Out of stock",IF(OR($P1466="",$Q1466=""),"No window",IF(YEAR(TODAY())&lt;$P1466,"Too young",IF(YEAR(TODAY())&gt;$Q1466,"Past peak",IF(YEAR(TODAY())=$Q1466,"Drink now","Ready"))))))</f>
        <v/>
      </c>
    </row>
    <row r="1467">
      <c r="A1467" s="32">
        <f>IF($B1467="","",IFERROR(IMAGE($B1467,4,60,60),""))</f>
        <v/>
      </c>
      <c r="T1467" s="68" t="n"/>
      <c r="V1467" s="32">
        <f>IF($M1467="","",IF($M1467=0,"Out of stock",IF(OR($P1467="",$Q1467=""),"No window",IF(YEAR(TODAY())&lt;$P1467,"Too young",IF(YEAR(TODAY())&gt;$Q1467,"Past peak",IF(YEAR(TODAY())=$Q1467,"Drink now","Ready"))))))</f>
        <v/>
      </c>
    </row>
    <row r="1468">
      <c r="A1468" s="32">
        <f>IF($B1468="","",IFERROR(IMAGE($B1468,4,60,60),""))</f>
        <v/>
      </c>
      <c r="T1468" s="68" t="n"/>
      <c r="V1468" s="32">
        <f>IF($M1468="","",IF($M1468=0,"Out of stock",IF(OR($P1468="",$Q1468=""),"No window",IF(YEAR(TODAY())&lt;$P1468,"Too young",IF(YEAR(TODAY())&gt;$Q1468,"Past peak",IF(YEAR(TODAY())=$Q1468,"Drink now","Ready"))))))</f>
        <v/>
      </c>
    </row>
    <row r="1469">
      <c r="A1469" s="32">
        <f>IF($B1469="","",IFERROR(IMAGE($B1469,4,60,60),""))</f>
        <v/>
      </c>
      <c r="T1469" s="68" t="n"/>
      <c r="V1469" s="32">
        <f>IF($M1469="","",IF($M1469=0,"Out of stock",IF(OR($P1469="",$Q1469=""),"No window",IF(YEAR(TODAY())&lt;$P1469,"Too young",IF(YEAR(TODAY())&gt;$Q1469,"Past peak",IF(YEAR(TODAY())=$Q1469,"Drink now","Ready"))))))</f>
        <v/>
      </c>
    </row>
    <row r="1470">
      <c r="A1470" s="32">
        <f>IF($B1470="","",IFERROR(IMAGE($B1470,4,60,60),""))</f>
        <v/>
      </c>
      <c r="T1470" s="68" t="n"/>
      <c r="V1470" s="32">
        <f>IF($M1470="","",IF($M1470=0,"Out of stock",IF(OR($P1470="",$Q1470=""),"No window",IF(YEAR(TODAY())&lt;$P1470,"Too young",IF(YEAR(TODAY())&gt;$Q1470,"Past peak",IF(YEAR(TODAY())=$Q1470,"Drink now","Ready"))))))</f>
        <v/>
      </c>
    </row>
    <row r="1471">
      <c r="A1471" s="32">
        <f>IF($B1471="","",IFERROR(IMAGE($B1471,4,60,60),""))</f>
        <v/>
      </c>
      <c r="T1471" s="68" t="n"/>
      <c r="V1471" s="32">
        <f>IF($M1471="","",IF($M1471=0,"Out of stock",IF(OR($P1471="",$Q1471=""),"No window",IF(YEAR(TODAY())&lt;$P1471,"Too young",IF(YEAR(TODAY())&gt;$Q1471,"Past peak",IF(YEAR(TODAY())=$Q1471,"Drink now","Ready"))))))</f>
        <v/>
      </c>
    </row>
    <row r="1472">
      <c r="A1472" s="32">
        <f>IF($B1472="","",IFERROR(IMAGE($B1472,4,60,60),""))</f>
        <v/>
      </c>
      <c r="T1472" s="68" t="n"/>
      <c r="V1472" s="32">
        <f>IF($M1472="","",IF($M1472=0,"Out of stock",IF(OR($P1472="",$Q1472=""),"No window",IF(YEAR(TODAY())&lt;$P1472,"Too young",IF(YEAR(TODAY())&gt;$Q1472,"Past peak",IF(YEAR(TODAY())=$Q1472,"Drink now","Ready"))))))</f>
        <v/>
      </c>
    </row>
    <row r="1473">
      <c r="A1473" s="32">
        <f>IF($B1473="","",IFERROR(IMAGE($B1473,4,60,60),""))</f>
        <v/>
      </c>
      <c r="T1473" s="68" t="n"/>
      <c r="V1473" s="32">
        <f>IF($M1473="","",IF($M1473=0,"Out of stock",IF(OR($P1473="",$Q1473=""),"No window",IF(YEAR(TODAY())&lt;$P1473,"Too young",IF(YEAR(TODAY())&gt;$Q1473,"Past peak",IF(YEAR(TODAY())=$Q1473,"Drink now","Ready"))))))</f>
        <v/>
      </c>
    </row>
    <row r="1474">
      <c r="A1474" s="32">
        <f>IF($B1474="","",IFERROR(IMAGE($B1474,4,60,60),""))</f>
        <v/>
      </c>
      <c r="T1474" s="68" t="n"/>
      <c r="V1474" s="32">
        <f>IF($M1474="","",IF($M1474=0,"Out of stock",IF(OR($P1474="",$Q1474=""),"No window",IF(YEAR(TODAY())&lt;$P1474,"Too young",IF(YEAR(TODAY())&gt;$Q1474,"Past peak",IF(YEAR(TODAY())=$Q1474,"Drink now","Ready"))))))</f>
        <v/>
      </c>
    </row>
    <row r="1475">
      <c r="A1475" s="32">
        <f>IF($B1475="","",IFERROR(IMAGE($B1475,4,60,60),""))</f>
        <v/>
      </c>
      <c r="T1475" s="68" t="n"/>
      <c r="V1475" s="32">
        <f>IF($M1475="","",IF($M1475=0,"Out of stock",IF(OR($P1475="",$Q1475=""),"No window",IF(YEAR(TODAY())&lt;$P1475,"Too young",IF(YEAR(TODAY())&gt;$Q1475,"Past peak",IF(YEAR(TODAY())=$Q1475,"Drink now","Ready"))))))</f>
        <v/>
      </c>
    </row>
    <row r="1476">
      <c r="A1476" s="32">
        <f>IF($B1476="","",IFERROR(IMAGE($B1476,4,60,60),""))</f>
        <v/>
      </c>
      <c r="T1476" s="68" t="n"/>
      <c r="V1476" s="32">
        <f>IF($M1476="","",IF($M1476=0,"Out of stock",IF(OR($P1476="",$Q1476=""),"No window",IF(YEAR(TODAY())&lt;$P1476,"Too young",IF(YEAR(TODAY())&gt;$Q1476,"Past peak",IF(YEAR(TODAY())=$Q1476,"Drink now","Ready"))))))</f>
        <v/>
      </c>
    </row>
    <row r="1477">
      <c r="A1477" s="32">
        <f>IF($B1477="","",IFERROR(IMAGE($B1477,4,60,60),""))</f>
        <v/>
      </c>
      <c r="T1477" s="68" t="n"/>
      <c r="V1477" s="32">
        <f>IF($M1477="","",IF($M1477=0,"Out of stock",IF(OR($P1477="",$Q1477=""),"No window",IF(YEAR(TODAY())&lt;$P1477,"Too young",IF(YEAR(TODAY())&gt;$Q1477,"Past peak",IF(YEAR(TODAY())=$Q1477,"Drink now","Ready"))))))</f>
        <v/>
      </c>
    </row>
    <row r="1478">
      <c r="A1478" s="32">
        <f>IF($B1478="","",IFERROR(IMAGE($B1478,4,60,60),""))</f>
        <v/>
      </c>
      <c r="T1478" s="68" t="n"/>
      <c r="V1478" s="32">
        <f>IF($M1478="","",IF($M1478=0,"Out of stock",IF(OR($P1478="",$Q1478=""),"No window",IF(YEAR(TODAY())&lt;$P1478,"Too young",IF(YEAR(TODAY())&gt;$Q1478,"Past peak",IF(YEAR(TODAY())=$Q1478,"Drink now","Ready"))))))</f>
        <v/>
      </c>
    </row>
    <row r="1479">
      <c r="A1479" s="32">
        <f>IF($B1479="","",IFERROR(IMAGE($B1479,4,60,60),""))</f>
        <v/>
      </c>
      <c r="T1479" s="68" t="n"/>
      <c r="V1479" s="32">
        <f>IF($M1479="","",IF($M1479=0,"Out of stock",IF(OR($P1479="",$Q1479=""),"No window",IF(YEAR(TODAY())&lt;$P1479,"Too young",IF(YEAR(TODAY())&gt;$Q1479,"Past peak",IF(YEAR(TODAY())=$Q1479,"Drink now","Ready"))))))</f>
        <v/>
      </c>
    </row>
    <row r="1480">
      <c r="A1480" s="32">
        <f>IF($B1480="","",IFERROR(IMAGE($B1480,4,60,60),""))</f>
        <v/>
      </c>
      <c r="T1480" s="68" t="n"/>
      <c r="V1480" s="32">
        <f>IF($M1480="","",IF($M1480=0,"Out of stock",IF(OR($P1480="",$Q1480=""),"No window",IF(YEAR(TODAY())&lt;$P1480,"Too young",IF(YEAR(TODAY())&gt;$Q1480,"Past peak",IF(YEAR(TODAY())=$Q1480,"Drink now","Ready"))))))</f>
        <v/>
      </c>
    </row>
    <row r="1481">
      <c r="A1481" s="32">
        <f>IF($B1481="","",IFERROR(IMAGE($B1481,4,60,60),""))</f>
        <v/>
      </c>
      <c r="T1481" s="68" t="n"/>
      <c r="V1481" s="32">
        <f>IF($M1481="","",IF($M1481=0,"Out of stock",IF(OR($P1481="",$Q1481=""),"No window",IF(YEAR(TODAY())&lt;$P1481,"Too young",IF(YEAR(TODAY())&gt;$Q1481,"Past peak",IF(YEAR(TODAY())=$Q1481,"Drink now","Ready"))))))</f>
        <v/>
      </c>
    </row>
    <row r="1482">
      <c r="A1482" s="32">
        <f>IF($B1482="","",IFERROR(IMAGE($B1482,4,60,60),""))</f>
        <v/>
      </c>
      <c r="T1482" s="68" t="n"/>
      <c r="V1482" s="32">
        <f>IF($M1482="","",IF($M1482=0,"Out of stock",IF(OR($P1482="",$Q1482=""),"No window",IF(YEAR(TODAY())&lt;$P1482,"Too young",IF(YEAR(TODAY())&gt;$Q1482,"Past peak",IF(YEAR(TODAY())=$Q1482,"Drink now","Ready"))))))</f>
        <v/>
      </c>
    </row>
    <row r="1483">
      <c r="A1483" s="32">
        <f>IF($B1483="","",IFERROR(IMAGE($B1483,4,60,60),""))</f>
        <v/>
      </c>
      <c r="T1483" s="68" t="n"/>
      <c r="V1483" s="32">
        <f>IF($M1483="","",IF($M1483=0,"Out of stock",IF(OR($P1483="",$Q1483=""),"No window",IF(YEAR(TODAY())&lt;$P1483,"Too young",IF(YEAR(TODAY())&gt;$Q1483,"Past peak",IF(YEAR(TODAY())=$Q1483,"Drink now","Ready"))))))</f>
        <v/>
      </c>
    </row>
    <row r="1484">
      <c r="A1484" s="32">
        <f>IF($B1484="","",IFERROR(IMAGE($B1484,4,60,60),""))</f>
        <v/>
      </c>
      <c r="T1484" s="68" t="n"/>
      <c r="V1484" s="32">
        <f>IF($M1484="","",IF($M1484=0,"Out of stock",IF(OR($P1484="",$Q1484=""),"No window",IF(YEAR(TODAY())&lt;$P1484,"Too young",IF(YEAR(TODAY())&gt;$Q1484,"Past peak",IF(YEAR(TODAY())=$Q1484,"Drink now","Ready"))))))</f>
        <v/>
      </c>
    </row>
    <row r="1485">
      <c r="A1485" s="32">
        <f>IF($B1485="","",IFERROR(IMAGE($B1485,4,60,60),""))</f>
        <v/>
      </c>
      <c r="T1485" s="68" t="n"/>
      <c r="V1485" s="32">
        <f>IF($M1485="","",IF($M1485=0,"Out of stock",IF(OR($P1485="",$Q1485=""),"No window",IF(YEAR(TODAY())&lt;$P1485,"Too young",IF(YEAR(TODAY())&gt;$Q1485,"Past peak",IF(YEAR(TODAY())=$Q1485,"Drink now","Ready"))))))</f>
        <v/>
      </c>
    </row>
    <row r="1486">
      <c r="A1486" s="32">
        <f>IF($B1486="","",IFERROR(IMAGE($B1486,4,60,60),""))</f>
        <v/>
      </c>
      <c r="T1486" s="68" t="n"/>
      <c r="V1486" s="32">
        <f>IF($M1486="","",IF($M1486=0,"Out of stock",IF(OR($P1486="",$Q1486=""),"No window",IF(YEAR(TODAY())&lt;$P1486,"Too young",IF(YEAR(TODAY())&gt;$Q1486,"Past peak",IF(YEAR(TODAY())=$Q1486,"Drink now","Ready"))))))</f>
        <v/>
      </c>
    </row>
    <row r="1487">
      <c r="A1487" s="32">
        <f>IF($B1487="","",IFERROR(IMAGE($B1487,4,60,60),""))</f>
        <v/>
      </c>
      <c r="T1487" s="68" t="n"/>
      <c r="V1487" s="32">
        <f>IF($M1487="","",IF($M1487=0,"Out of stock",IF(OR($P1487="",$Q1487=""),"No window",IF(YEAR(TODAY())&lt;$P1487,"Too young",IF(YEAR(TODAY())&gt;$Q1487,"Past peak",IF(YEAR(TODAY())=$Q1487,"Drink now","Ready"))))))</f>
        <v/>
      </c>
    </row>
    <row r="1488">
      <c r="A1488" s="32">
        <f>IF($B1488="","",IFERROR(IMAGE($B1488,4,60,60),""))</f>
        <v/>
      </c>
      <c r="T1488" s="68" t="n"/>
      <c r="V1488" s="32">
        <f>IF($M1488="","",IF($M1488=0,"Out of stock",IF(OR($P1488="",$Q1488=""),"No window",IF(YEAR(TODAY())&lt;$P1488,"Too young",IF(YEAR(TODAY())&gt;$Q1488,"Past peak",IF(YEAR(TODAY())=$Q1488,"Drink now","Ready"))))))</f>
        <v/>
      </c>
    </row>
    <row r="1489">
      <c r="A1489" s="32">
        <f>IF($B1489="","",IFERROR(IMAGE($B1489,4,60,60),""))</f>
        <v/>
      </c>
      <c r="T1489" s="68" t="n"/>
      <c r="V1489" s="32">
        <f>IF($M1489="","",IF($M1489=0,"Out of stock",IF(OR($P1489="",$Q1489=""),"No window",IF(YEAR(TODAY())&lt;$P1489,"Too young",IF(YEAR(TODAY())&gt;$Q1489,"Past peak",IF(YEAR(TODAY())=$Q1489,"Drink now","Ready"))))))</f>
        <v/>
      </c>
    </row>
    <row r="1490">
      <c r="A1490" s="32">
        <f>IF($B1490="","",IFERROR(IMAGE($B1490,4,60,60),""))</f>
        <v/>
      </c>
      <c r="T1490" s="68" t="n"/>
      <c r="V1490" s="32">
        <f>IF($M1490="","",IF($M1490=0,"Out of stock",IF(OR($P1490="",$Q1490=""),"No window",IF(YEAR(TODAY())&lt;$P1490,"Too young",IF(YEAR(TODAY())&gt;$Q1490,"Past peak",IF(YEAR(TODAY())=$Q1490,"Drink now","Ready"))))))</f>
        <v/>
      </c>
    </row>
    <row r="1491">
      <c r="A1491" s="32">
        <f>IF($B1491="","",IFERROR(IMAGE($B1491,4,60,60),""))</f>
        <v/>
      </c>
      <c r="T1491" s="68" t="n"/>
      <c r="V1491" s="32">
        <f>IF($M1491="","",IF($M1491=0,"Out of stock",IF(OR($P1491="",$Q1491=""),"No window",IF(YEAR(TODAY())&lt;$P1491,"Too young",IF(YEAR(TODAY())&gt;$Q1491,"Past peak",IF(YEAR(TODAY())=$Q1491,"Drink now","Ready"))))))</f>
        <v/>
      </c>
    </row>
    <row r="1492">
      <c r="A1492" s="32">
        <f>IF($B1492="","",IFERROR(IMAGE($B1492,4,60,60),""))</f>
        <v/>
      </c>
      <c r="T1492" s="68" t="n"/>
      <c r="V1492" s="32">
        <f>IF($M1492="","",IF($M1492=0,"Out of stock",IF(OR($P1492="",$Q1492=""),"No window",IF(YEAR(TODAY())&lt;$P1492,"Too young",IF(YEAR(TODAY())&gt;$Q1492,"Past peak",IF(YEAR(TODAY())=$Q1492,"Drink now","Ready"))))))</f>
        <v/>
      </c>
    </row>
    <row r="1493">
      <c r="A1493" s="32">
        <f>IF($B1493="","",IFERROR(IMAGE($B1493,4,60,60),""))</f>
        <v/>
      </c>
      <c r="T1493" s="68" t="n"/>
      <c r="V1493" s="32">
        <f>IF($M1493="","",IF($M1493=0,"Out of stock",IF(OR($P1493="",$Q1493=""),"No window",IF(YEAR(TODAY())&lt;$P1493,"Too young",IF(YEAR(TODAY())&gt;$Q1493,"Past peak",IF(YEAR(TODAY())=$Q1493,"Drink now","Ready"))))))</f>
        <v/>
      </c>
    </row>
    <row r="1494">
      <c r="A1494" s="32">
        <f>IF($B1494="","",IFERROR(IMAGE($B1494,4,60,60),""))</f>
        <v/>
      </c>
      <c r="T1494" s="68" t="n"/>
      <c r="V1494" s="32">
        <f>IF($M1494="","",IF($M1494=0,"Out of stock",IF(OR($P1494="",$Q1494=""),"No window",IF(YEAR(TODAY())&lt;$P1494,"Too young",IF(YEAR(TODAY())&gt;$Q1494,"Past peak",IF(YEAR(TODAY())=$Q1494,"Drink now","Ready"))))))</f>
        <v/>
      </c>
    </row>
    <row r="1495">
      <c r="A1495" s="32">
        <f>IF($B1495="","",IFERROR(IMAGE($B1495,4,60,60),""))</f>
        <v/>
      </c>
      <c r="T1495" s="68" t="n"/>
      <c r="V1495" s="32">
        <f>IF($M1495="","",IF($M1495=0,"Out of stock",IF(OR($P1495="",$Q1495=""),"No window",IF(YEAR(TODAY())&lt;$P1495,"Too young",IF(YEAR(TODAY())&gt;$Q1495,"Past peak",IF(YEAR(TODAY())=$Q1495,"Drink now","Ready"))))))</f>
        <v/>
      </c>
    </row>
    <row r="1496">
      <c r="A1496" s="32">
        <f>IF($B1496="","",IFERROR(IMAGE($B1496,4,60,60),""))</f>
        <v/>
      </c>
      <c r="T1496" s="68" t="n"/>
      <c r="V1496" s="32">
        <f>IF($M1496="","",IF($M1496=0,"Out of stock",IF(OR($P1496="",$Q1496=""),"No window",IF(YEAR(TODAY())&lt;$P1496,"Too young",IF(YEAR(TODAY())&gt;$Q1496,"Past peak",IF(YEAR(TODAY())=$Q1496,"Drink now","Ready"))))))</f>
        <v/>
      </c>
    </row>
    <row r="1497">
      <c r="A1497" s="32">
        <f>IF($B1497="","",IFERROR(IMAGE($B1497,4,60,60),""))</f>
        <v/>
      </c>
      <c r="T1497" s="68" t="n"/>
      <c r="V1497" s="32">
        <f>IF($M1497="","",IF($M1497=0,"Out of stock",IF(OR($P1497="",$Q1497=""),"No window",IF(YEAR(TODAY())&lt;$P1497,"Too young",IF(YEAR(TODAY())&gt;$Q1497,"Past peak",IF(YEAR(TODAY())=$Q1497,"Drink now","Ready"))))))</f>
        <v/>
      </c>
    </row>
    <row r="1498">
      <c r="A1498" s="32">
        <f>IF($B1498="","",IFERROR(IMAGE($B1498,4,60,60),""))</f>
        <v/>
      </c>
      <c r="T1498" s="68" t="n"/>
      <c r="V1498" s="32">
        <f>IF($M1498="","",IF($M1498=0,"Out of stock",IF(OR($P1498="",$Q1498=""),"No window",IF(YEAR(TODAY())&lt;$P1498,"Too young",IF(YEAR(TODAY())&gt;$Q1498,"Past peak",IF(YEAR(TODAY())=$Q1498,"Drink now","Ready"))))))</f>
        <v/>
      </c>
    </row>
    <row r="1499">
      <c r="A1499" s="32">
        <f>IF($B1499="","",IFERROR(IMAGE($B1499,4,60,60),""))</f>
        <v/>
      </c>
      <c r="T1499" s="68" t="n"/>
      <c r="V1499" s="32">
        <f>IF($M1499="","",IF($M1499=0,"Out of stock",IF(OR($P1499="",$Q1499=""),"No window",IF(YEAR(TODAY())&lt;$P1499,"Too young",IF(YEAR(TODAY())&gt;$Q1499,"Past peak",IF(YEAR(TODAY())=$Q1499,"Drink now","Ready"))))))</f>
        <v/>
      </c>
    </row>
    <row r="1500">
      <c r="A1500" s="32">
        <f>IF($B1500="","",IFERROR(IMAGE($B1500,4,60,60),""))</f>
        <v/>
      </c>
      <c r="T1500" s="68" t="n"/>
      <c r="V1500" s="32">
        <f>IF($M1500="","",IF($M1500=0,"Out of stock",IF(OR($P1500="",$Q1500=""),"No window",IF(YEAR(TODAY())&lt;$P1500,"Too young",IF(YEAR(TODAY())&gt;$Q1500,"Past peak",IF(YEAR(TODAY())=$Q1500,"Drink now","Ready"))))))</f>
        <v/>
      </c>
    </row>
  </sheetData>
  <conditionalFormatting sqref="M2:M1500">
    <cfRule type="cellIs" priority="1" operator="equal" dxfId="16">
      <formula>0</formula>
    </cfRule>
  </conditionalFormatting>
  <conditionalFormatting sqref="V2:V1500">
    <cfRule type="expression" priority="2" dxfId="17">
      <formula>$V2="Ready"</formula>
    </cfRule>
    <cfRule type="expression" priority="3" dxfId="18">
      <formula>$V2="Drink now"</formula>
    </cfRule>
    <cfRule type="expression" priority="4" dxfId="19">
      <formula>$V2="Too young"</formula>
    </cfRule>
    <cfRule type="expression" priority="5" dxfId="20">
      <formula>$V2="Past peak"</formula>
    </cfRule>
    <cfRule type="expression" priority="6" dxfId="21">
      <formula>$V2="Out of stock"</formula>
    </cfRule>
  </conditionalFormatting>
  <dataValidations count="5">
    <dataValidation sqref="G2:G1500" showDropDown="0" showInputMessage="0" showErrorMessage="0" allowBlank="1" errorTitle="Invalid entry" error="Please choose from the list." type="list">
      <formula1>"Red,White,Sparkling,Rosé,Fortified,Dessert,Other"</formula1>
    </dataValidation>
    <dataValidation sqref="L2:L1500" showDropDown="0" showInputMessage="0" showErrorMessage="0" allowBlank="1" errorTitle="Invalid entry" error="Please choose from the list." type="list">
      <formula1>"375ml,500ml,750ml,1000ml,1500ml,3000ml"</formula1>
    </dataValidation>
    <dataValidation sqref="J2:J1500" showDropDown="0" showInputMessage="0" showErrorMessage="0" allowBlank="1" errorTitle="Invalid entry" error="Please choose from the list." type="list">
      <formula1>"Australia,France,Italy,Spain,USA,New Zealand,Portugal,Germany,Argentina,Chile,South Africa,Other"</formula1>
    </dataValidation>
    <dataValidation sqref="R2:R1500" showDropDown="0" showInputMessage="0" showErrorMessage="0" allowBlank="1" errorTitle="Invalid entry" error="Please choose from the list." type="list">
      <formula1>"In Cellar,Reserved,Gifted,Drunk,Archived"</formula1>
    </dataValidation>
    <dataValidation sqref="S2:S1500" showDropDown="0" showInputMessage="0" showErrorMessage="0" allowBlank="1" errorTitle="Invalid entry" error="Please choose from the list.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B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00" customWidth="1" style="32" min="2" max="2"/>
  </cols>
  <sheetData>
    <row r="2" ht="30" customHeight="1" s="33">
      <c r="B2" s="61" t="inlineStr">
        <is>
          <t>🍷  Wine Cellar Workbook — Read Me / Hand-off</t>
        </is>
      </c>
    </row>
    <row r="3" ht="39.75" customHeight="1" s="33">
      <c r="B3" s="62" t="inlineStr">
        <is>
          <t>This workbook is the full build: layout, dropdowns, live dashboard, and image thumbnails for your cellar. Import it into Google Sheets (File ▸ Import ▸ Upload ▸ Insert new sheet(s)) and it scales to 1,200+ bottles as-is.</t>
        </is>
      </c>
    </row>
    <row r="4" ht="6" customHeight="1" s="33">
      <c r="B4" s="63" t="n"/>
    </row>
    <row r="5" ht="21.75" customHeight="1" s="33">
      <c r="B5" s="64" t="inlineStr">
        <is>
          <t>COLUMN LAYOUT (updated on your request)</t>
        </is>
      </c>
    </row>
    <row r="6" ht="30" customHeight="1" s="33">
      <c r="B6" s="65" t="inlineStr">
        <is>
          <t>• Cellar, column A: Photo — a live thumbnail of the label, first thing you see scanning down the sheet. Column B holds the actual image URL it reads from (kept just to the right of the photo, not out of sight).</t>
        </is>
      </c>
    </row>
    <row r="7" ht="30" customHeight="1" s="33">
      <c r="B7" s="65" t="inlineStr">
        <is>
          <t>• Columns C–U are your core catalogue fields (ID, Producer, Wine Name … Reviews &amp; Notes, Last Updated), in a natural entry order. Reviews &amp; Notes (T) is set extra-wide with word-wrap on, so rows auto-grow downward to fit most pasted reviews.</t>
        </is>
      </c>
    </row>
    <row r="8" ht="30" customHeight="1" s="33">
      <c r="B8" s="65" t="inlineStr">
        <is>
          <t>• Column V is the auto-computed Drink Status, W–AB are your critic-score fields (Halliday, Hook, RP, Larkin, My Score, Others), and Storage Location is the very last column (AC), as requested.</t>
        </is>
      </c>
    </row>
    <row r="9" ht="6" customHeight="1" s="33">
      <c r="B9" s="63" t="n"/>
    </row>
    <row r="10" ht="21.75" customHeight="1" s="33">
      <c r="B10" s="64" t="inlineStr">
        <is>
          <t>DASHBOARD</t>
        </is>
      </c>
    </row>
    <row r="11" ht="39.75" customHeight="1" s="33">
      <c r="B11" s="65" t="inlineStr">
        <is>
          <t>KPIs plus three live QUERY-driven lists — ready to drink now, coming into window next year, zero-stock to restock/archive — that update automatically as you edit the Cellar tab, no manual refresh needed.</t>
        </is>
      </c>
    </row>
    <row r="12" ht="6" customHeight="1" s="33">
      <c r="B12" s="63" t="n"/>
    </row>
    <row r="13" ht="21.75" customHeight="1" s="33">
      <c r="B13" s="64" t="inlineStr">
        <is>
          <t>DROPDOWNS &amp; TIDY DATA</t>
        </is>
      </c>
    </row>
    <row r="14" ht="39.75" customHeight="1" s="33">
      <c r="B14" s="65" t="inlineStr">
        <is>
          <t>Type, Bottle Size, Country, Status and Personal Rating use dropdown validation (rows 2–1500). Reviews &amp; Notes stays free-text — paste critic reviews there verbatim, and record the numeric score in the matching score column (Halliday / Hook / RP / Larkin / My Score / Others) so you can sort and filter on it.</t>
        </is>
      </c>
    </row>
    <row r="15" ht="6" customHeight="1" s="33">
      <c r="B15" s="63" t="n"/>
    </row>
    <row r="16" ht="21.75" customHeight="1" s="33">
      <c r="B16" s="64" t="inlineStr">
        <is>
          <t>DRINK STATUS (automatic)</t>
        </is>
      </c>
    </row>
    <row r="17" ht="21.75" customHeight="1" s="33">
      <c r="B17" s="65" t="inlineStr">
        <is>
          <t>Column V reads Quantity plus Drinking Window Start/End (years) against today's date and labels each wine Ready / Drink now / Too young / Past peak / Out of stock / No window. Every row down to 1500 already has the formula. The Dashboard counts and lists read off this column.</t>
        </is>
      </c>
    </row>
    <row r="18" ht="18" customHeight="1" s="33">
      <c r="B18" s="65" t="inlineStr">
        <is>
          <t>2) Paste that URL into the Label Photo column (T). The Thumbnail column (V) already has a live =IMAGE() formula and will render automatically — nothing else to do.</t>
        </is>
      </c>
    </row>
    <row r="19" ht="33.75" customHeight="1" s="33">
      <c r="B19" s="65" t="inlineStr">
        <is>
          <t>ADDING LABEL PHOTOS</t>
        </is>
      </c>
    </row>
    <row r="20" ht="6" customHeight="1" s="33">
      <c r="B20" s="63" t="inlineStr">
        <is>
          <t>1) Upload the label image somewhere public (Google Drive set to 'Anyone with link', Imgur, etc.) and copy the direct image URL.</t>
        </is>
      </c>
    </row>
    <row r="21" ht="21.75" customHeight="1" s="33">
      <c r="B21" s="64" t="inlineStr">
        <is>
          <t>2) Paste that URL into column B (Label Photo URL). Column A already has a live =IMAGE() formula and renders the thumbnail automatically — nothing else to do.</t>
        </is>
      </c>
    </row>
    <row r="22" ht="39.75" customHeight="1" s="33">
      <c r="B22" s="65" t="inlineStr">
        <is>
          <t>3) This is a live formula only — it renders once the file is inside Google Sheets (thumbnails appear blank in this .xlsx preview).</t>
        </is>
      </c>
    </row>
    <row r="23" ht="6" customHeight="1" s="33">
      <c r="B23" s="63" t="n"/>
    </row>
    <row r="24" ht="21.75" customHeight="1" s="33">
      <c r="B24" s="64" t="inlineStr">
        <is>
          <t>YOUR EXISTING SPREADSHEET</t>
        </is>
      </c>
    </row>
    <row r="25" ht="49.5" customHeight="1" s="33">
      <c r="B25" s="65" t="inlineStr">
        <is>
          <t>Send over your current sheet whenever it's convenient — even a rough one is genuinely useful as a starting point for producer, wine name, vintage and grape data, so you're not re-typing everything by hand. We'll map it into this layout for you; it doesn't need any cleanup or reformatting first.</t>
        </is>
      </c>
    </row>
    <row r="26" ht="6" customHeight="1" s="33">
      <c r="B26" s="63" t="n"/>
    </row>
    <row r="27" ht="21.75" customHeight="1" s="33">
      <c r="B27" s="64" t="inlineStr">
        <is>
          <t>ADDING MORE FIELDS LATER</t>
        </is>
      </c>
    </row>
    <row r="28" ht="33.75" customHeight="1" s="33">
      <c r="B28" s="65" t="inlineStr">
        <is>
          <t>Add new columns to the right of column AC so this layout stays intact. To add a new dropdown: select the column ▸ Data ▸ Data validation ▸ list of items.</t>
        </is>
      </c>
    </row>
    <row r="29" ht="6" customHeight="1" s="33"/>
    <row r="30" ht="21.75" customHeight="1" s="33">
      <c r="B30" s="70" t="inlineStr">
        <is>
          <t>THE POP-UP ENTRY FORM &amp; MENU (Code.gs)</t>
        </is>
      </c>
    </row>
    <row r="31" ht="49.5" customHeight="1" s="33">
      <c r="B31" s="71" t="inlineStr">
        <is>
          <t>Paste Code.gs into Extensions ▸ Apps Script, save, and reload the sheet. A '🍷 Cellar' menu appears with: Add Bottle… (form covering every column including critic scores and storage location; writes to the next empty row, copies the Photo/Drink Status formulas down, and stamps Last Updated automatically), Re-stamp selected row, Rebuild dropdowns, and Rebuild Filter Views.</t>
        </is>
      </c>
    </row>
    <row r="32" ht="6" customHeight="1" s="33"/>
    <row r="33" ht="21.75" customHeight="1" s="33">
      <c r="B33" s="70" t="inlineStr">
        <is>
          <t>FILTER VIEWS (native Data ▸ Filter views)</t>
        </is>
      </c>
    </row>
    <row r="34" ht="49.5" customHeight="1" s="33">
      <c r="B34" s="71" t="inlineStr">
        <is>
          <t>Run Cellar ▸ Rebuild Filter Views once to create three ready-made filter views directly on the Cellar tab. This needs the Sheets API advanced service enabled once (Apps Script editor ▸ Services ▸ + ▸ Google Sheets API ▸ Add). The Dashboard's live lists work immediately either way, no setup required.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2026-07-12T00:57:21Z</dcterms:created>
  <dcterms:modified xsi:type="dcterms:W3CDTF">2026-07-13T02:25:03Z</dcterms:modified>
  <cp:revision>0</cp:revision>
</cp:coreProperties>
</file>